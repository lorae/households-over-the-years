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4540\Documents\dev\households-over-the-years\output\"/>
    </mc:Choice>
  </mc:AlternateContent>
  <xr:revisionPtr revIDLastSave="0" documentId="13_ncr:1_{678C9268-C953-4A60-AEB2-BB32BF061BF1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D57" i="1"/>
  <c r="E57" i="1"/>
  <c r="F57" i="1"/>
  <c r="G57" i="1"/>
  <c r="C58" i="1"/>
  <c r="D58" i="1"/>
  <c r="E58" i="1"/>
  <c r="F58" i="1"/>
  <c r="G58" i="1"/>
  <c r="B58" i="1"/>
  <c r="B57" i="1"/>
  <c r="C54" i="1"/>
  <c r="D54" i="1"/>
  <c r="E54" i="1"/>
  <c r="F54" i="1"/>
  <c r="G54" i="1"/>
  <c r="C55" i="1"/>
  <c r="D55" i="1"/>
  <c r="E55" i="1"/>
  <c r="F55" i="1"/>
  <c r="G55" i="1"/>
  <c r="B55" i="1"/>
  <c r="B54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C49" i="1"/>
  <c r="D49" i="1"/>
  <c r="E49" i="1"/>
  <c r="F49" i="1"/>
  <c r="G49" i="1"/>
  <c r="C50" i="1"/>
  <c r="D50" i="1"/>
  <c r="E50" i="1"/>
  <c r="F50" i="1"/>
  <c r="G50" i="1"/>
  <c r="C51" i="1"/>
  <c r="D51" i="1"/>
  <c r="E51" i="1"/>
  <c r="F51" i="1"/>
  <c r="G51" i="1"/>
  <c r="C52" i="1"/>
  <c r="D52" i="1"/>
  <c r="E52" i="1"/>
  <c r="F52" i="1"/>
  <c r="G52" i="1"/>
  <c r="B47" i="1"/>
  <c r="B48" i="1"/>
  <c r="B49" i="1"/>
  <c r="B50" i="1"/>
  <c r="B51" i="1"/>
  <c r="B52" i="1"/>
  <c r="B46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B42" i="1"/>
  <c r="B43" i="1"/>
  <c r="B44" i="1"/>
  <c r="B41" i="1"/>
  <c r="C38" i="1"/>
  <c r="D38" i="1"/>
  <c r="E38" i="1"/>
  <c r="F38" i="1"/>
  <c r="G38" i="1"/>
  <c r="C39" i="1"/>
  <c r="D39" i="1"/>
  <c r="E39" i="1"/>
  <c r="F39" i="1"/>
  <c r="G39" i="1"/>
  <c r="B39" i="1"/>
  <c r="B38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B31" i="1"/>
  <c r="B32" i="1"/>
  <c r="B33" i="1"/>
  <c r="B34" i="1"/>
  <c r="B35" i="1"/>
  <c r="B36" i="1"/>
  <c r="B30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B26" i="1"/>
  <c r="B27" i="1"/>
  <c r="B28" i="1"/>
  <c r="B25" i="1"/>
</calcChain>
</file>

<file path=xl/sharedStrings.xml><?xml version="1.0" encoding="utf-8"?>
<sst xmlns="http://schemas.openxmlformats.org/spreadsheetml/2006/main" count="53" uniqueCount="25">
  <si>
    <t>row</t>
  </si>
  <si>
    <t>1970</t>
  </si>
  <si>
    <t>1980</t>
  </si>
  <si>
    <t>1990</t>
  </si>
  <si>
    <t>2000</t>
  </si>
  <si>
    <t>2010</t>
  </si>
  <si>
    <t>2020</t>
  </si>
  <si>
    <t>Crowded: Percent &gt; 2 persons per bedroom</t>
  </si>
  <si>
    <t>Not crowded: Percent &lt;= 2 persons per bedroom</t>
  </si>
  <si>
    <t>Number of observations</t>
  </si>
  <si>
    <t>Hispanic</t>
  </si>
  <si>
    <t>Black</t>
  </si>
  <si>
    <t>AIAN</t>
  </si>
  <si>
    <t>Multiracial</t>
  </si>
  <si>
    <t>White</t>
  </si>
  <si>
    <t>Other</t>
  </si>
  <si>
    <t>AAPI</t>
  </si>
  <si>
    <t>Renter</t>
  </si>
  <si>
    <t>Owner</t>
  </si>
  <si>
    <t>U.S.-Born</t>
  </si>
  <si>
    <t>Foreign-Born</t>
  </si>
  <si>
    <t>less than $50,000</t>
  </si>
  <si>
    <t>$50,000 - $99,999</t>
  </si>
  <si>
    <t>$100,000 - $149,999</t>
  </si>
  <si>
    <t>$150,000 and greater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</si>
</sst>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of adults living in crowded housing conditions, by individual income (2020 dollars)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Sheet1!$A$20</c:f>
              <c:strCache>
                <c:ptCount val="1"/>
                <c:pt idx="0">
                  <c:v>less than $50,000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Sheet1!$B$20:$G$20</c:f>
              <c:numCache>
                <c:formatCode>General</c:formatCode>
                <c:ptCount val="6"/>
                <c:pt idx="0">
                  <c:v>10.664587294436391</c:v>
                </c:pt>
                <c:pt idx="1">
                  <c:v>6.8380569619002536</c:v>
                </c:pt>
                <c:pt idx="2">
                  <c:v>8.247766684922107</c:v>
                </c:pt>
                <c:pt idx="3">
                  <c:v>10.219405368829859</c:v>
                </c:pt>
                <c:pt idx="4">
                  <c:v>5.6092620851298047</c:v>
                </c:pt>
                <c:pt idx="5">
                  <c:v>5.2576261875042629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C-425D-BD87-F92F07DB3753}"/>
            </c:ext>
          </c:extLst>
        </c:ser>
        <c:ser>
          <c:idx val="1"/>
          <c:order val="1"/>
          <c:tx>
            <c:strRef>
              <c:f>Sheet1!$A$21</c:f>
              <c:strCache>
                <c:ptCount val="1"/>
                <c:pt idx="0">
                  <c:v>$50,000 - $99,999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Sheet1!$B$21:$G$21</c:f>
              <c:numCache>
                <c:formatCode>General</c:formatCode>
                <c:ptCount val="6"/>
                <c:pt idx="0">
                  <c:v>6.9817828784314946</c:v>
                </c:pt>
                <c:pt idx="1">
                  <c:v>3.2603974114670371</c:v>
                </c:pt>
                <c:pt idx="2">
                  <c:v>3.153261927925294</c:v>
                </c:pt>
                <c:pt idx="3">
                  <c:v>3.6386637193751721</c:v>
                </c:pt>
                <c:pt idx="4">
                  <c:v>1.755590834728596</c:v>
                </c:pt>
                <c:pt idx="5">
                  <c:v>2.245082406545349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2C-425D-BD87-F92F07DB3753}"/>
            </c:ext>
          </c:extLst>
        </c:ser>
        <c:ser>
          <c:idx val="2"/>
          <c:order val="2"/>
          <c:tx>
            <c:strRef>
              <c:f>Sheet1!$A$22</c:f>
              <c:strCache>
                <c:ptCount val="1"/>
                <c:pt idx="0">
                  <c:v>$100,000 - $149,999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Sheet1!$B$22:$G$22</c:f>
              <c:numCache>
                <c:formatCode>General</c:formatCode>
                <c:ptCount val="6"/>
                <c:pt idx="0">
                  <c:v>3.8251625456788951</c:v>
                </c:pt>
                <c:pt idx="1">
                  <c:v>1.6717912529193339</c:v>
                </c:pt>
                <c:pt idx="2">
                  <c:v>1.5500244103533529</c:v>
                </c:pt>
                <c:pt idx="3">
                  <c:v>2.2356252633363498</c:v>
                </c:pt>
                <c:pt idx="4">
                  <c:v>1.0333734459554731</c:v>
                </c:pt>
                <c:pt idx="5">
                  <c:v>1.467309971027005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2C-425D-BD87-F92F07DB3753}"/>
            </c:ext>
          </c:extLst>
        </c:ser>
        <c:ser>
          <c:idx val="3"/>
          <c:order val="3"/>
          <c:tx>
            <c:strRef>
              <c:f>Sheet1!$A$23</c:f>
              <c:strCache>
                <c:ptCount val="1"/>
                <c:pt idx="0">
                  <c:v>$150,000 and greater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Sheet1!$B$23:$G$23</c:f>
              <c:numCache>
                <c:formatCode>General</c:formatCode>
                <c:ptCount val="6"/>
                <c:pt idx="0">
                  <c:v>2.3473971637452662</c:v>
                </c:pt>
                <c:pt idx="1">
                  <c:v>1.214413696993828</c:v>
                </c:pt>
                <c:pt idx="2">
                  <c:v>1.0617993764324101</c:v>
                </c:pt>
                <c:pt idx="3">
                  <c:v>1.666100373358351</c:v>
                </c:pt>
                <c:pt idx="4">
                  <c:v>0.6446839140196241</c:v>
                </c:pt>
                <c:pt idx="5">
                  <c:v>1.072956562966523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2C-425D-BD87-F92F07DB3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129360"/>
        <c:axId val="491129840"/>
      </c:lineChart>
      <c:catAx>
        <c:axId val="4911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840"/>
        <c:crosses val="autoZero"/>
        <c:auto val="1"/>
        <c:lblAlgn val="ctr"/>
        <c:lblOffset val="100"/>
        <c:noMultiLvlLbl val="0"/>
      </c:catAx>
      <c:valAx>
        <c:axId val="4911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Adults </a:t>
            </a:r>
            <a:r>
              <a:rPr lang="en-US" baseline="0"/>
              <a:t>living in crowded housing conditions as proportion of 1970 value, by individual income (2020 dollars)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Sheet1!$A$25</c:f>
              <c:strCache>
                <c:ptCount val="1"/>
                <c:pt idx="0">
                  <c:v>less than $50,000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Sheet1!$B$25:$G$25</c:f>
              <c:numCache>
                <c:formatCode>General</c:formatCode>
                <c:ptCount val="6"/>
                <c:pt idx="0">
                  <c:v>1</c:v>
                </c:pt>
                <c:pt idx="1">
                  <c:v>0.64119283504459657</c:v>
                </c:pt>
                <c:pt idx="2">
                  <c:v>0.77337889007902672</c:v>
                </c:pt>
                <c:pt idx="3">
                  <c:v>0.95825605686224924</c:v>
                </c:pt>
                <c:pt idx="4">
                  <c:v>0.52597085384223929</c:v>
                </c:pt>
                <c:pt idx="5">
                  <c:v>0.49299856078323012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3B-41C7-A1CD-267FCD56C925}"/>
            </c:ext>
          </c:extLst>
        </c:ser>
        <c:ser>
          <c:idx val="1"/>
          <c:order val="1"/>
          <c:tx>
            <c:strRef>
              <c:f>Sheet1!$A$26</c:f>
              <c:strCache>
                <c:ptCount val="1"/>
                <c:pt idx="0">
                  <c:v>$50,000 - $99,999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Sheet1!$B$26:$G$26</c:f>
              <c:numCache>
                <c:formatCode>General</c:formatCode>
                <c:ptCount val="6"/>
                <c:pt idx="0">
                  <c:v>1</c:v>
                </c:pt>
                <c:pt idx="1">
                  <c:v>0.4669863655513028</c:v>
                </c:pt>
                <c:pt idx="2">
                  <c:v>0.45164136193156668</c:v>
                </c:pt>
                <c:pt idx="3">
                  <c:v>0.52116540756601459</c:v>
                </c:pt>
                <c:pt idx="4">
                  <c:v>0.25145308373195951</c:v>
                </c:pt>
                <c:pt idx="5">
                  <c:v>0.32156290816218019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3B-41C7-A1CD-267FCD56C925}"/>
            </c:ext>
          </c:extLst>
        </c:ser>
        <c:ser>
          <c:idx val="2"/>
          <c:order val="2"/>
          <c:tx>
            <c:strRef>
              <c:f>Sheet1!$A$27</c:f>
              <c:strCache>
                <c:ptCount val="1"/>
                <c:pt idx="0">
                  <c:v>$100,000 - $149,999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Sheet1!$B$27:$G$27</c:f>
              <c:numCache>
                <c:formatCode>General</c:formatCode>
                <c:ptCount val="6"/>
                <c:pt idx="0">
                  <c:v>1</c:v>
                </c:pt>
                <c:pt idx="1">
                  <c:v>0.43705103585934596</c:v>
                </c:pt>
                <c:pt idx="2">
                  <c:v>0.40521791998207818</c:v>
                </c:pt>
                <c:pt idx="3">
                  <c:v>0.58445235637419635</c:v>
                </c:pt>
                <c:pt idx="4">
                  <c:v>0.27015151215543143</c:v>
                </c:pt>
                <c:pt idx="5">
                  <c:v>0.38359414887729559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3B-41C7-A1CD-267FCD56C925}"/>
            </c:ext>
          </c:extLst>
        </c:ser>
        <c:ser>
          <c:idx val="3"/>
          <c:order val="3"/>
          <c:tx>
            <c:strRef>
              <c:f>Sheet1!$A$28</c:f>
              <c:strCache>
                <c:ptCount val="1"/>
                <c:pt idx="0">
                  <c:v>$150,000 and greater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Sheet1!$B$28:$G$28</c:f>
              <c:numCache>
                <c:formatCode>General</c:formatCode>
                <c:ptCount val="6"/>
                <c:pt idx="0">
                  <c:v>1</c:v>
                </c:pt>
                <c:pt idx="1">
                  <c:v>0.51734479181879645</c:v>
                </c:pt>
                <c:pt idx="2">
                  <c:v>0.45233051859801682</c:v>
                </c:pt>
                <c:pt idx="3">
                  <c:v>0.70976501083442234</c:v>
                </c:pt>
                <c:pt idx="4">
                  <c:v>0.27463776644896026</c:v>
                </c:pt>
                <c:pt idx="5">
                  <c:v>0.45708352192716445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3B-41C7-A1CD-267FCD56C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129360"/>
        <c:axId val="491129840"/>
      </c:lineChart>
      <c:catAx>
        <c:axId val="4911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840"/>
        <c:crosses val="autoZero"/>
        <c:auto val="1"/>
        <c:lblAlgn val="ctr"/>
        <c:lblOffset val="100"/>
        <c:noMultiLvlLbl val="0"/>
      </c:catAx>
      <c:valAx>
        <c:axId val="4911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of adults living in crowded housing conditions, race/ethnicity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Hispanic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Sheet1!$B$6:$G$6</c:f>
              <c:numCache>
                <c:formatCode>General</c:formatCode>
                <c:ptCount val="6"/>
                <c:pt idx="0">
                  <c:v>41.263790591174022</c:v>
                </c:pt>
                <c:pt idx="1">
                  <c:v>30.881477893862861</c:v>
                </c:pt>
                <c:pt idx="2">
                  <c:v>37.549079127718393</c:v>
                </c:pt>
                <c:pt idx="3">
                  <c:v>40.192373221292527</c:v>
                </c:pt>
                <c:pt idx="4">
                  <c:v>19.562518648608481</c:v>
                </c:pt>
                <c:pt idx="5">
                  <c:v>14.943219047779831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5-4216-AA59-4D4DC6CFABEC}"/>
            </c:ext>
          </c:extLst>
        </c:ser>
        <c:ser>
          <c:idx val="1"/>
          <c:order val="1"/>
          <c:tx>
            <c:strRef>
              <c:f>Sheet1!$A$7</c:f>
              <c:strCache>
                <c:ptCount val="1"/>
                <c:pt idx="0">
                  <c:v>Black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Sheet1!$B$7:$G$7</c:f>
              <c:numCache>
                <c:formatCode>General</c:formatCode>
                <c:ptCount val="6"/>
                <c:pt idx="0">
                  <c:v>35.592664449371767</c:v>
                </c:pt>
                <c:pt idx="1">
                  <c:v>20.112411772119991</c:v>
                </c:pt>
                <c:pt idx="2">
                  <c:v>16.548801012232179</c:v>
                </c:pt>
                <c:pt idx="3">
                  <c:v>14.778830492261189</c:v>
                </c:pt>
                <c:pt idx="4">
                  <c:v>6.9700886242444291</c:v>
                </c:pt>
                <c:pt idx="5">
                  <c:v>6.7588238314455653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5-4216-AA59-4D4DC6CFABEC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AIAN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Sheet1!$B$8:$G$8</c:f>
              <c:numCache>
                <c:formatCode>General</c:formatCode>
                <c:ptCount val="6"/>
                <c:pt idx="0">
                  <c:v>48.097412480974121</c:v>
                </c:pt>
                <c:pt idx="1">
                  <c:v>27.10207551179429</c:v>
                </c:pt>
                <c:pt idx="2">
                  <c:v>20.323250116256329</c:v>
                </c:pt>
                <c:pt idx="3">
                  <c:v>19.868954025441969</c:v>
                </c:pt>
                <c:pt idx="4">
                  <c:v>11.70166841734394</c:v>
                </c:pt>
                <c:pt idx="5">
                  <c:v>11.47136111949894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C5-4216-AA59-4D4DC6CFABEC}"/>
            </c:ext>
          </c:extLst>
        </c:ser>
        <c:ser>
          <c:idx val="3"/>
          <c:order val="3"/>
          <c:tx>
            <c:strRef>
              <c:f>Sheet1!$A$9</c:f>
              <c:strCache>
                <c:ptCount val="1"/>
                <c:pt idx="0">
                  <c:v>Multiracial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Sheet1!$B$9:$G$9</c:f>
              <c:numCache>
                <c:formatCode>General</c:formatCode>
                <c:ptCount val="6"/>
                <c:pt idx="3">
                  <c:v>14.113454968190901</c:v>
                </c:pt>
                <c:pt idx="4">
                  <c:v>6.2769406021044336</c:v>
                </c:pt>
                <c:pt idx="5">
                  <c:v>5.5673231716507292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C5-4216-AA59-4D4DC6CFABEC}"/>
            </c:ext>
          </c:extLst>
        </c:ser>
        <c:ser>
          <c:idx val="4"/>
          <c:order val="4"/>
          <c:tx>
            <c:strRef>
              <c:f>Sheet1!$A$10</c:f>
              <c:strCache>
                <c:ptCount val="1"/>
                <c:pt idx="0">
                  <c:v>White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Sheet1!$B$10:$G$10</c:f>
              <c:numCache>
                <c:formatCode>General</c:formatCode>
                <c:ptCount val="6"/>
                <c:pt idx="0">
                  <c:v>10.91480028097709</c:v>
                </c:pt>
                <c:pt idx="1">
                  <c:v>4.3885777785605251</c:v>
                </c:pt>
                <c:pt idx="2">
                  <c:v>3.624652194244145</c:v>
                </c:pt>
                <c:pt idx="3">
                  <c:v>3.5294448630787181</c:v>
                </c:pt>
                <c:pt idx="4">
                  <c:v>2.2389827333642218</c:v>
                </c:pt>
                <c:pt idx="5">
                  <c:v>2.5026186360778602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C5-4216-AA59-4D4DC6CFABEC}"/>
            </c:ext>
          </c:extLst>
        </c:ser>
        <c:ser>
          <c:idx val="5"/>
          <c:order val="5"/>
          <c:tx>
            <c:strRef>
              <c:f>Sheet1!$A$11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Sheet1!$B$11:$G$11</c:f>
              <c:numCache>
                <c:formatCode>General</c:formatCode>
                <c:ptCount val="6"/>
                <c:pt idx="0">
                  <c:v>29.943502824858761</c:v>
                </c:pt>
                <c:pt idx="1">
                  <c:v>14.11992263056093</c:v>
                </c:pt>
                <c:pt idx="2">
                  <c:v>25.407685306457701</c:v>
                </c:pt>
                <c:pt idx="3">
                  <c:v>16.372483190610659</c:v>
                </c:pt>
                <c:pt idx="4">
                  <c:v>11.30134029382854</c:v>
                </c:pt>
                <c:pt idx="5">
                  <c:v>8.6339384222865814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C5-4216-AA59-4D4DC6CFABEC}"/>
            </c:ext>
          </c:extLst>
        </c:ser>
        <c:ser>
          <c:idx val="6"/>
          <c:order val="6"/>
          <c:tx>
            <c:strRef>
              <c:f>Sheet1!$A$12</c:f>
              <c:strCache>
                <c:ptCount val="1"/>
                <c:pt idx="0">
                  <c:v>AAPI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Sheet1!$B$12:$G$12</c:f>
              <c:numCache>
                <c:formatCode>General</c:formatCode>
                <c:ptCount val="6"/>
                <c:pt idx="0">
                  <c:v>23.824583596879609</c:v>
                </c:pt>
                <c:pt idx="1">
                  <c:v>25.04198332052486</c:v>
                </c:pt>
                <c:pt idx="2">
                  <c:v>28.807203437618181</c:v>
                </c:pt>
                <c:pt idx="3">
                  <c:v>25.144343421708282</c:v>
                </c:pt>
                <c:pt idx="4">
                  <c:v>10.06834273909249</c:v>
                </c:pt>
                <c:pt idx="5">
                  <c:v>9.1159877628439574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C5-4216-AA59-4D4DC6CFA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129360"/>
        <c:axId val="491129840"/>
      </c:lineChart>
      <c:catAx>
        <c:axId val="4911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840"/>
        <c:crosses val="autoZero"/>
        <c:auto val="1"/>
        <c:lblAlgn val="ctr"/>
        <c:lblOffset val="100"/>
        <c:noMultiLvlLbl val="0"/>
      </c:catAx>
      <c:valAx>
        <c:axId val="4911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Adults living in crowded housing conditions as proportion of 1970 value</a:t>
            </a:r>
            <a:r>
              <a:rPr lang="en-US" baseline="0"/>
              <a:t>, race/ethnicity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Sheet1!$A$30</c:f>
              <c:strCache>
                <c:ptCount val="1"/>
                <c:pt idx="0">
                  <c:v>Hispanic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Sheet1!$B$30:$G$30</c:f>
              <c:numCache>
                <c:formatCode>General</c:formatCode>
                <c:ptCount val="6"/>
                <c:pt idx="0">
                  <c:v>1</c:v>
                </c:pt>
                <c:pt idx="1">
                  <c:v>0.74839168800134781</c:v>
                </c:pt>
                <c:pt idx="2">
                  <c:v>0.90997648518868324</c:v>
                </c:pt>
                <c:pt idx="3">
                  <c:v>0.97403492615361753</c:v>
                </c:pt>
                <c:pt idx="4">
                  <c:v>0.47408438169014799</c:v>
                </c:pt>
                <c:pt idx="5">
                  <c:v>0.36213878642007408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27-4871-B937-375453F5F986}"/>
            </c:ext>
          </c:extLst>
        </c:ser>
        <c:ser>
          <c:idx val="1"/>
          <c:order val="1"/>
          <c:tx>
            <c:strRef>
              <c:f>Sheet1!$A$31</c:f>
              <c:strCache>
                <c:ptCount val="1"/>
                <c:pt idx="0">
                  <c:v>Black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Sheet1!$B$31:$G$31</c:f>
              <c:numCache>
                <c:formatCode>General</c:formatCode>
                <c:ptCount val="6"/>
                <c:pt idx="0">
                  <c:v>1</c:v>
                </c:pt>
                <c:pt idx="1">
                  <c:v>0.56507182261470135</c:v>
                </c:pt>
                <c:pt idx="2">
                  <c:v>0.46494976614554284</c:v>
                </c:pt>
                <c:pt idx="3">
                  <c:v>0.41522124631279311</c:v>
                </c:pt>
                <c:pt idx="4">
                  <c:v>0.19582935787678732</c:v>
                </c:pt>
                <c:pt idx="5">
                  <c:v>0.18989373052021855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27-4871-B937-375453F5F986}"/>
            </c:ext>
          </c:extLst>
        </c:ser>
        <c:ser>
          <c:idx val="2"/>
          <c:order val="2"/>
          <c:tx>
            <c:strRef>
              <c:f>Sheet1!$A$32</c:f>
              <c:strCache>
                <c:ptCount val="1"/>
                <c:pt idx="0">
                  <c:v>AIAN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Sheet1!$B$32:$G$32</c:f>
              <c:numCache>
                <c:formatCode>General</c:formatCode>
                <c:ptCount val="6"/>
                <c:pt idx="0">
                  <c:v>1</c:v>
                </c:pt>
                <c:pt idx="1">
                  <c:v>0.56348302567243191</c:v>
                </c:pt>
                <c:pt idx="2">
                  <c:v>0.42254352298672182</c:v>
                </c:pt>
                <c:pt idx="3">
                  <c:v>0.41309818970618273</c:v>
                </c:pt>
                <c:pt idx="4">
                  <c:v>0.24329101741123321</c:v>
                </c:pt>
                <c:pt idx="5">
                  <c:v>0.23850266631363304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27-4871-B937-375453F5F986}"/>
            </c:ext>
          </c:extLst>
        </c:ser>
        <c:ser>
          <c:idx val="3"/>
          <c:order val="3"/>
          <c:tx>
            <c:strRef>
              <c:f>Sheet1!$A$33</c:f>
              <c:strCache>
                <c:ptCount val="1"/>
                <c:pt idx="0">
                  <c:v>Multiracial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Sheet1!$B$33:$G$33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27-4871-B937-375453F5F986}"/>
            </c:ext>
          </c:extLst>
        </c:ser>
        <c:ser>
          <c:idx val="4"/>
          <c:order val="4"/>
          <c:tx>
            <c:strRef>
              <c:f>Sheet1!$A$34</c:f>
              <c:strCache>
                <c:ptCount val="1"/>
                <c:pt idx="0">
                  <c:v>White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Sheet1!$B$34:$G$34</c:f>
              <c:numCache>
                <c:formatCode>General</c:formatCode>
                <c:ptCount val="6"/>
                <c:pt idx="0">
                  <c:v>1</c:v>
                </c:pt>
                <c:pt idx="1">
                  <c:v>0.40207586630872011</c:v>
                </c:pt>
                <c:pt idx="2">
                  <c:v>0.33208598425400293</c:v>
                </c:pt>
                <c:pt idx="3">
                  <c:v>0.32336321070666108</c:v>
                </c:pt>
                <c:pt idx="4">
                  <c:v>0.20513272581509742</c:v>
                </c:pt>
                <c:pt idx="5">
                  <c:v>0.22928670902385273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27-4871-B937-375453F5F986}"/>
            </c:ext>
          </c:extLst>
        </c:ser>
        <c:ser>
          <c:idx val="5"/>
          <c:order val="5"/>
          <c:tx>
            <c:strRef>
              <c:f>Sheet1!$A$35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Sheet1!$B$35:$G$35</c:f>
              <c:numCache>
                <c:formatCode>General</c:formatCode>
                <c:ptCount val="6"/>
                <c:pt idx="0">
                  <c:v>1</c:v>
                </c:pt>
                <c:pt idx="1">
                  <c:v>0.47155213313382721</c:v>
                </c:pt>
                <c:pt idx="2">
                  <c:v>0.84852081117792688</c:v>
                </c:pt>
                <c:pt idx="3">
                  <c:v>0.54677915561095969</c:v>
                </c:pt>
                <c:pt idx="4">
                  <c:v>0.37742211924672664</c:v>
                </c:pt>
                <c:pt idx="5">
                  <c:v>0.28834096240466506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27-4871-B937-375453F5F986}"/>
            </c:ext>
          </c:extLst>
        </c:ser>
        <c:ser>
          <c:idx val="6"/>
          <c:order val="6"/>
          <c:tx>
            <c:strRef>
              <c:f>Sheet1!$A$36</c:f>
              <c:strCache>
                <c:ptCount val="1"/>
                <c:pt idx="0">
                  <c:v>AAPI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Sheet1!$B$36:$G$36</c:f>
              <c:numCache>
                <c:formatCode>General</c:formatCode>
                <c:ptCount val="6"/>
                <c:pt idx="0">
                  <c:v>1</c:v>
                </c:pt>
                <c:pt idx="1">
                  <c:v>1.051098468046455</c:v>
                </c:pt>
                <c:pt idx="2">
                  <c:v>1.2091377513683457</c:v>
                </c:pt>
                <c:pt idx="3">
                  <c:v>1.0553948747713486</c:v>
                </c:pt>
                <c:pt idx="4">
                  <c:v>0.42260309390721845</c:v>
                </c:pt>
                <c:pt idx="5">
                  <c:v>0.38262946866521147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27-4871-B937-375453F5F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129360"/>
        <c:axId val="491129840"/>
      </c:lineChart>
      <c:catAx>
        <c:axId val="4911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840"/>
        <c:crosses val="autoZero"/>
        <c:auto val="1"/>
        <c:lblAlgn val="ctr"/>
        <c:lblOffset val="100"/>
        <c:noMultiLvlLbl val="0"/>
      </c:catAx>
      <c:valAx>
        <c:axId val="4911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of adults living in crowded housing conditions, race/ethnicity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Sheet1!$A$14</c:f>
              <c:strCache>
                <c:ptCount val="1"/>
                <c:pt idx="0">
                  <c:v>Renter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Sheet1!$B$14:$G$14</c:f>
              <c:numCache>
                <c:formatCode>General</c:formatCode>
                <c:ptCount val="6"/>
                <c:pt idx="0">
                  <c:v>23.300504996305278</c:v>
                </c:pt>
                <c:pt idx="1">
                  <c:v>15.2006109169906</c:v>
                </c:pt>
                <c:pt idx="2">
                  <c:v>17.66511758724921</c:v>
                </c:pt>
                <c:pt idx="3">
                  <c:v>20.95878886470399</c:v>
                </c:pt>
                <c:pt idx="4">
                  <c:v>12.46149788516572</c:v>
                </c:pt>
                <c:pt idx="5">
                  <c:v>11.28582054928777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1E-42C5-9ADC-451D43798AE2}"/>
            </c:ext>
          </c:extLst>
        </c:ser>
        <c:ser>
          <c:idx val="1"/>
          <c:order val="1"/>
          <c:tx>
            <c:strRef>
              <c:f>Sheet1!$A$15</c:f>
              <c:strCache>
                <c:ptCount val="1"/>
                <c:pt idx="0">
                  <c:v>Owner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Sheet1!$B$15:$G$15</c:f>
              <c:numCache>
                <c:formatCode>General</c:formatCode>
                <c:ptCount val="6"/>
                <c:pt idx="0">
                  <c:v>10.974478731771329</c:v>
                </c:pt>
                <c:pt idx="1">
                  <c:v>5.4776529435395043</c:v>
                </c:pt>
                <c:pt idx="2">
                  <c:v>4.8923599106188531</c:v>
                </c:pt>
                <c:pt idx="3">
                  <c:v>6.005536600225545</c:v>
                </c:pt>
                <c:pt idx="4">
                  <c:v>3.1312032349289121</c:v>
                </c:pt>
                <c:pt idx="5">
                  <c:v>3.311388005040083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1E-42C5-9ADC-451D43798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129360"/>
        <c:axId val="491129840"/>
      </c:lineChart>
      <c:catAx>
        <c:axId val="4911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840"/>
        <c:crosses val="autoZero"/>
        <c:auto val="1"/>
        <c:lblAlgn val="ctr"/>
        <c:lblOffset val="100"/>
        <c:noMultiLvlLbl val="0"/>
      </c:catAx>
      <c:valAx>
        <c:axId val="4911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of adults living in crowded housing conditions, race/ethnicity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Sheet1!$A$38</c:f>
              <c:strCache>
                <c:ptCount val="1"/>
                <c:pt idx="0">
                  <c:v>Renter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Sheet1!$B$38:$G$38</c:f>
              <c:numCache>
                <c:formatCode>General</c:formatCode>
                <c:ptCount val="6"/>
                <c:pt idx="0">
                  <c:v>1</c:v>
                </c:pt>
                <c:pt idx="1">
                  <c:v>0.65237259533220138</c:v>
                </c:pt>
                <c:pt idx="2">
                  <c:v>0.75814312136369311</c:v>
                </c:pt>
                <c:pt idx="3">
                  <c:v>0.89949933995110365</c:v>
                </c:pt>
                <c:pt idx="4">
                  <c:v>0.53481664398010764</c:v>
                </c:pt>
                <c:pt idx="5">
                  <c:v>0.48435948281281216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E-46C0-86C0-DFA9968E6BAA}"/>
            </c:ext>
          </c:extLst>
        </c:ser>
        <c:ser>
          <c:idx val="1"/>
          <c:order val="1"/>
          <c:tx>
            <c:strRef>
              <c:f>Sheet1!$A$39</c:f>
              <c:strCache>
                <c:ptCount val="1"/>
                <c:pt idx="0">
                  <c:v>Owner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Sheet1!$B$39:$G$39</c:f>
              <c:numCache>
                <c:formatCode>General</c:formatCode>
                <c:ptCount val="6"/>
                <c:pt idx="0">
                  <c:v>1</c:v>
                </c:pt>
                <c:pt idx="1">
                  <c:v>0.49912648039324115</c:v>
                </c:pt>
                <c:pt idx="2">
                  <c:v>0.44579428601518684</c:v>
                </c:pt>
                <c:pt idx="3">
                  <c:v>0.54722750364802297</c:v>
                </c:pt>
                <c:pt idx="4">
                  <c:v>0.28531680742740134</c:v>
                </c:pt>
                <c:pt idx="5">
                  <c:v>0.30173533394834967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1E-46C0-86C0-DFA9968E6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129360"/>
        <c:axId val="491129840"/>
      </c:lineChart>
      <c:catAx>
        <c:axId val="4911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840"/>
        <c:crosses val="autoZero"/>
        <c:auto val="1"/>
        <c:lblAlgn val="ctr"/>
        <c:lblOffset val="100"/>
        <c:noMultiLvlLbl val="0"/>
      </c:catAx>
      <c:valAx>
        <c:axId val="4911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likelihood of living in crowded housing conditions, as multiple of highest income group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Sheet1!$A$41</c:f>
              <c:strCache>
                <c:ptCount val="1"/>
                <c:pt idx="0">
                  <c:v>less than $50,000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Sheet1!$B$41:$G$41</c:f>
              <c:numCache>
                <c:formatCode>General</c:formatCode>
                <c:ptCount val="6"/>
                <c:pt idx="0">
                  <c:v>4.543154204643014</c:v>
                </c:pt>
                <c:pt idx="1">
                  <c:v>5.6307475605942603</c:v>
                </c:pt>
                <c:pt idx="2">
                  <c:v>7.7677260582259597</c:v>
                </c:pt>
                <c:pt idx="3">
                  <c:v>6.133727314537869</c:v>
                </c:pt>
                <c:pt idx="4">
                  <c:v>8.7007942390804853</c:v>
                </c:pt>
                <c:pt idx="5">
                  <c:v>4.9001295755793839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F-4861-8714-C42F974EA797}"/>
            </c:ext>
          </c:extLst>
        </c:ser>
        <c:ser>
          <c:idx val="1"/>
          <c:order val="1"/>
          <c:tx>
            <c:strRef>
              <c:f>Sheet1!$A$42</c:f>
              <c:strCache>
                <c:ptCount val="1"/>
                <c:pt idx="0">
                  <c:v>$50,000 - $99,999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Sheet1!$B$42:$G$42</c:f>
              <c:numCache>
                <c:formatCode>General</c:formatCode>
                <c:ptCount val="6"/>
                <c:pt idx="0">
                  <c:v>2.9742657042713971</c:v>
                </c:pt>
                <c:pt idx="1">
                  <c:v>2.684750196360481</c:v>
                </c:pt>
                <c:pt idx="2">
                  <c:v>2.9697342058347105</c:v>
                </c:pt>
                <c:pt idx="3">
                  <c:v>2.1839402820856066</c:v>
                </c:pt>
                <c:pt idx="4">
                  <c:v>2.7231807658770837</c:v>
                </c:pt>
                <c:pt idx="5">
                  <c:v>2.0924261839063818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1F-4861-8714-C42F974EA797}"/>
            </c:ext>
          </c:extLst>
        </c:ser>
        <c:ser>
          <c:idx val="2"/>
          <c:order val="2"/>
          <c:tx>
            <c:strRef>
              <c:f>Sheet1!$A$43</c:f>
              <c:strCache>
                <c:ptCount val="1"/>
                <c:pt idx="0">
                  <c:v>$100,000 - $149,999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Sheet1!$B$43:$G$43</c:f>
              <c:numCache>
                <c:formatCode>General</c:formatCode>
                <c:ptCount val="6"/>
                <c:pt idx="0">
                  <c:v>1.6295335977895866</c:v>
                </c:pt>
                <c:pt idx="1">
                  <c:v>1.376624174330134</c:v>
                </c:pt>
                <c:pt idx="2">
                  <c:v>1.4598091172000431</c:v>
                </c:pt>
                <c:pt idx="3">
                  <c:v>1.341831079978699</c:v>
                </c:pt>
                <c:pt idx="4">
                  <c:v>1.6029148912873563</c:v>
                </c:pt>
                <c:pt idx="5">
                  <c:v>1.3675390241056629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1F-4861-8714-C42F974EA797}"/>
            </c:ext>
          </c:extLst>
        </c:ser>
        <c:ser>
          <c:idx val="3"/>
          <c:order val="3"/>
          <c:tx>
            <c:strRef>
              <c:f>Sheet1!$A$44</c:f>
              <c:strCache>
                <c:ptCount val="1"/>
                <c:pt idx="0">
                  <c:v>$150,000 and greater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Sheet1!$B$44:$G$44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1F-4861-8714-C42F974EA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129360"/>
        <c:axId val="491129840"/>
      </c:lineChart>
      <c:catAx>
        <c:axId val="4911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840"/>
        <c:crosses val="autoZero"/>
        <c:auto val="1"/>
        <c:lblAlgn val="ctr"/>
        <c:lblOffset val="100"/>
        <c:noMultiLvlLbl val="0"/>
      </c:catAx>
      <c:valAx>
        <c:axId val="4911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Relative likelihood of living in crowded housing conditions, as multiple of white Americans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Sheet1!$A$46</c:f>
              <c:strCache>
                <c:ptCount val="1"/>
                <c:pt idx="0">
                  <c:v>Hispanic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Sheet1!$B$46:$G$46</c:f>
              <c:numCache>
                <c:formatCode>General</c:formatCode>
                <c:ptCount val="6"/>
                <c:pt idx="0">
                  <c:v>3.7805355598755948</c:v>
                </c:pt>
                <c:pt idx="1">
                  <c:v>7.0367849112137959</c:v>
                </c:pt>
                <c:pt idx="2">
                  <c:v>10.359360599437753</c:v>
                </c:pt>
                <c:pt idx="3">
                  <c:v>11.387732286667006</c:v>
                </c:pt>
                <c:pt idx="4">
                  <c:v>8.7372351546519003</c:v>
                </c:pt>
                <c:pt idx="5">
                  <c:v>5.9710332338925829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7-4841-B544-05952F4AD7B8}"/>
            </c:ext>
          </c:extLst>
        </c:ser>
        <c:ser>
          <c:idx val="1"/>
          <c:order val="1"/>
          <c:tx>
            <c:strRef>
              <c:f>Sheet1!$A$47</c:f>
              <c:strCache>
                <c:ptCount val="1"/>
                <c:pt idx="0">
                  <c:v>Black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Sheet1!$B$47:$G$47</c:f>
              <c:numCache>
                <c:formatCode>General</c:formatCode>
                <c:ptCount val="6"/>
                <c:pt idx="0">
                  <c:v>3.2609542578075943</c:v>
                </c:pt>
                <c:pt idx="1">
                  <c:v>4.5828996971125715</c:v>
                </c:pt>
                <c:pt idx="2">
                  <c:v>4.5656245414418661</c:v>
                </c:pt>
                <c:pt idx="3">
                  <c:v>4.1872960382131268</c:v>
                </c:pt>
                <c:pt idx="4">
                  <c:v>3.113060462851986</c:v>
                </c:pt>
                <c:pt idx="5">
                  <c:v>2.7007006716924682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7-4841-B544-05952F4AD7B8}"/>
            </c:ext>
          </c:extLst>
        </c:ser>
        <c:ser>
          <c:idx val="2"/>
          <c:order val="2"/>
          <c:tx>
            <c:strRef>
              <c:f>Sheet1!$A$48</c:f>
              <c:strCache>
                <c:ptCount val="1"/>
                <c:pt idx="0">
                  <c:v>AIAN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Sheet1!$B$48:$G$48</c:f>
              <c:numCache>
                <c:formatCode>General</c:formatCode>
                <c:ptCount val="6"/>
                <c:pt idx="0">
                  <c:v>4.4066232311003359</c:v>
                </c:pt>
                <c:pt idx="1">
                  <c:v>6.1755942082639592</c:v>
                </c:pt>
                <c:pt idx="2">
                  <c:v>5.606951792099979</c:v>
                </c:pt>
                <c:pt idx="3">
                  <c:v>5.6294841812914385</c:v>
                </c:pt>
                <c:pt idx="4">
                  <c:v>5.2263325853171718</c:v>
                </c:pt>
                <c:pt idx="5">
                  <c:v>4.5837431856885003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17-4841-B544-05952F4AD7B8}"/>
            </c:ext>
          </c:extLst>
        </c:ser>
        <c:ser>
          <c:idx val="4"/>
          <c:order val="3"/>
          <c:tx>
            <c:strRef>
              <c:f>Sheet1!$A$50</c:f>
              <c:strCache>
                <c:ptCount val="1"/>
                <c:pt idx="0">
                  <c:v>White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Sheet1!$B$50:$G$50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17-4841-B544-05952F4AD7B8}"/>
            </c:ext>
          </c:extLst>
        </c:ser>
        <c:ser>
          <c:idx val="5"/>
          <c:order val="4"/>
          <c:tx>
            <c:strRef>
              <c:f>Sheet1!$A$51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Sheet1!$B$51:$G$51</c:f>
              <c:numCache>
                <c:formatCode>General</c:formatCode>
                <c:ptCount val="6"/>
                <c:pt idx="0">
                  <c:v>2.7433853166370743</c:v>
                </c:pt>
                <c:pt idx="1">
                  <c:v>3.2174256314974858</c:v>
                </c:pt>
                <c:pt idx="2">
                  <c:v>7.0096891908151786</c:v>
                </c:pt>
                <c:pt idx="3">
                  <c:v>4.6388267350149279</c:v>
                </c:pt>
                <c:pt idx="4">
                  <c:v>5.0475334737608799</c:v>
                </c:pt>
                <c:pt idx="5">
                  <c:v>3.4499616912538515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17-4841-B544-05952F4AD7B8}"/>
            </c:ext>
          </c:extLst>
        </c:ser>
        <c:ser>
          <c:idx val="6"/>
          <c:order val="5"/>
          <c:tx>
            <c:strRef>
              <c:f>Sheet1!$A$52</c:f>
              <c:strCache>
                <c:ptCount val="1"/>
                <c:pt idx="0">
                  <c:v>AAPI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Sheet1!$B$52:$G$52</c:f>
              <c:numCache>
                <c:formatCode>General</c:formatCode>
                <c:ptCount val="6"/>
                <c:pt idx="0">
                  <c:v>2.1827777864522537</c:v>
                </c:pt>
                <c:pt idx="1">
                  <c:v>5.7061728386955357</c:v>
                </c:pt>
                <c:pt idx="2">
                  <c:v>7.9475772829633931</c:v>
                </c:pt>
                <c:pt idx="3">
                  <c:v>7.1241638266520448</c:v>
                </c:pt>
                <c:pt idx="4">
                  <c:v>4.4968380457155774</c:v>
                </c:pt>
                <c:pt idx="5">
                  <c:v>3.6425796689225747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17-4841-B544-05952F4AD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129360"/>
        <c:axId val="491129840"/>
      </c:lineChart>
      <c:catAx>
        <c:axId val="4911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840"/>
        <c:crosses val="autoZero"/>
        <c:auto val="1"/>
        <c:lblAlgn val="ctr"/>
        <c:lblOffset val="100"/>
        <c:noMultiLvlLbl val="0"/>
      </c:catAx>
      <c:valAx>
        <c:axId val="4911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Relative likelihood of living in crowded housing conditions, as multiple of white Americans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Sheet1!$A$54</c:f>
              <c:strCache>
                <c:ptCount val="1"/>
                <c:pt idx="0">
                  <c:v>Renter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Sheet1!$B$54:$G$54</c:f>
              <c:numCache>
                <c:formatCode>General</c:formatCode>
                <c:ptCount val="6"/>
                <c:pt idx="0">
                  <c:v>2.1231536882795048</c:v>
                </c:pt>
                <c:pt idx="1">
                  <c:v>2.7750226371896418</c:v>
                </c:pt>
                <c:pt idx="2">
                  <c:v>3.6107559357820596</c:v>
                </c:pt>
                <c:pt idx="3">
                  <c:v>3.4899111036833674</c:v>
                </c:pt>
                <c:pt idx="4">
                  <c:v>3.9797793213025452</c:v>
                </c:pt>
                <c:pt idx="5">
                  <c:v>3.4081842816698731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73-4487-A1C3-9A506151DBE9}"/>
            </c:ext>
          </c:extLst>
        </c:ser>
        <c:ser>
          <c:idx val="1"/>
          <c:order val="1"/>
          <c:tx>
            <c:strRef>
              <c:f>Sheet1!$A$55</c:f>
              <c:strCache>
                <c:ptCount val="1"/>
                <c:pt idx="0">
                  <c:v>Owner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Sheet1!$B$55:$G$55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73-4487-A1C3-9A506151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129360"/>
        <c:axId val="491129840"/>
      </c:lineChart>
      <c:catAx>
        <c:axId val="4911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840"/>
        <c:crosses val="autoZero"/>
        <c:auto val="1"/>
        <c:lblAlgn val="ctr"/>
        <c:lblOffset val="100"/>
        <c:noMultiLvlLbl val="0"/>
      </c:catAx>
      <c:valAx>
        <c:axId val="4911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Relative likelihood of living in crowded housing conditions, as multiple of native-born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Sheet1!$A$57</c:f>
              <c:strCache>
                <c:ptCount val="1"/>
                <c:pt idx="0">
                  <c:v>U.S.-Born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Sheet1!$B$57:$G$57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58-4607-84CA-595F9AB409B8}"/>
            </c:ext>
          </c:extLst>
        </c:ser>
        <c:ser>
          <c:idx val="1"/>
          <c:order val="1"/>
          <c:tx>
            <c:strRef>
              <c:f>Sheet1!$A$58</c:f>
              <c:strCache>
                <c:ptCount val="1"/>
                <c:pt idx="0">
                  <c:v>Foreign-Born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Sheet1!$B$58:$G$58</c:f>
              <c:numCache>
                <c:formatCode>General</c:formatCode>
                <c:ptCount val="6"/>
                <c:pt idx="0">
                  <c:v>0.93657208990481344</c:v>
                </c:pt>
                <c:pt idx="1">
                  <c:v>2.6630601735126698</c:v>
                </c:pt>
                <c:pt idx="2">
                  <c:v>4.3840577287344233</c:v>
                </c:pt>
                <c:pt idx="3">
                  <c:v>4.257769865812933</c:v>
                </c:pt>
                <c:pt idx="4">
                  <c:v>3.1481997740710863</c:v>
                </c:pt>
                <c:pt idx="5">
                  <c:v>2.4115614152410862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58-4607-84CA-595F9AB40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129360"/>
        <c:axId val="491129840"/>
      </c:lineChart>
      <c:catAx>
        <c:axId val="4911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840"/>
        <c:crosses val="autoZero"/>
        <c:auto val="1"/>
        <c:lblAlgn val="ctr"/>
        <c:lblOffset val="100"/>
        <c:noMultiLvlLbl val="0"/>
      </c:catAx>
      <c:valAx>
        <c:axId val="4911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9</xdr:row>
      <xdr:rowOff>61912</xdr:rowOff>
    </xdr:from>
    <xdr:to>
      <xdr:col>16</xdr:col>
      <xdr:colOff>390525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90AAB2-5D25-33F7-3187-8415360F7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295275</xdr:colOff>
      <xdr:row>9</xdr:row>
      <xdr:rowOff>95250</xdr:rowOff>
    </xdr:from>
    <xdr:to>
      <xdr:col>24</xdr:col>
      <xdr:colOff>600075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633E0A-02C1-4009-AD56-A7D12AFA9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32</xdr:row>
      <xdr:rowOff>0</xdr:rowOff>
    </xdr:from>
    <xdr:to>
      <xdr:col>16</xdr:col>
      <xdr:colOff>304800</xdr:colOff>
      <xdr:row>52</xdr:row>
      <xdr:rowOff>185738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FC35E9-7E7D-4934-8617-C995D6B0C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32</xdr:row>
      <xdr:rowOff>0</xdr:rowOff>
    </xdr:from>
    <xdr:to>
      <xdr:col>24</xdr:col>
      <xdr:colOff>304800</xdr:colOff>
      <xdr:row>52</xdr:row>
      <xdr:rowOff>185738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F03C2B-D004-4758-B113-3108BBEF7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55</xdr:row>
      <xdr:rowOff>0</xdr:rowOff>
    </xdr:from>
    <xdr:to>
      <xdr:col>16</xdr:col>
      <xdr:colOff>304800</xdr:colOff>
      <xdr:row>75</xdr:row>
      <xdr:rowOff>185738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279BBD-FBF5-4E6E-8A07-8302AEDCA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55</xdr:row>
      <xdr:rowOff>0</xdr:rowOff>
    </xdr:from>
    <xdr:to>
      <xdr:col>24</xdr:col>
      <xdr:colOff>304800</xdr:colOff>
      <xdr:row>75</xdr:row>
      <xdr:rowOff>185738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0B57B9-B6FB-4DC4-8A41-D02419D85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10</xdr:row>
      <xdr:rowOff>0</xdr:rowOff>
    </xdr:from>
    <xdr:to>
      <xdr:col>33</xdr:col>
      <xdr:colOff>304800</xdr:colOff>
      <xdr:row>30</xdr:row>
      <xdr:rowOff>86179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A700E7-4DE0-4E13-B04D-C33E5F7C5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0</xdr:colOff>
      <xdr:row>32</xdr:row>
      <xdr:rowOff>0</xdr:rowOff>
    </xdr:from>
    <xdr:to>
      <xdr:col>33</xdr:col>
      <xdr:colOff>304799</xdr:colOff>
      <xdr:row>53</xdr:row>
      <xdr:rowOff>1384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90649D-C6E6-4746-840C-F6D1E9E56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33</xdr:col>
      <xdr:colOff>304799</xdr:colOff>
      <xdr:row>76</xdr:row>
      <xdr:rowOff>1383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AA8D134-16BE-4B62-8138-559635CA3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0</xdr:colOff>
      <xdr:row>79</xdr:row>
      <xdr:rowOff>0</xdr:rowOff>
    </xdr:from>
    <xdr:to>
      <xdr:col>33</xdr:col>
      <xdr:colOff>304799</xdr:colOff>
      <xdr:row>100</xdr:row>
      <xdr:rowOff>1383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F9811E1-C301-41DC-9E5C-485AB4AA4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L1" zoomScale="62" workbookViewId="0">
      <selection activeCell="R7" sqref="R7"/>
    </sheetView>
  </sheetViews>
  <sheetFormatPr defaultRowHeight="14.5" x14ac:dyDescent="0.35"/>
  <cols>
    <col min="1" max="1" width="26.179687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15.051489723353029</v>
      </c>
      <c r="C2">
        <v>8.4102177500623316</v>
      </c>
      <c r="D2">
        <v>8.9787083572114277</v>
      </c>
      <c r="E2">
        <v>10.611699438282891</v>
      </c>
      <c r="F2">
        <v>6.2026090802741063</v>
      </c>
      <c r="G2">
        <v>5.9175767980109324</v>
      </c>
    </row>
    <row r="3" spans="1:7" x14ac:dyDescent="0.35">
      <c r="A3" t="s">
        <v>8</v>
      </c>
      <c r="B3">
        <v>84.948510276646971</v>
      </c>
      <c r="C3">
        <v>91.58978224993767</v>
      </c>
      <c r="D3">
        <v>91.021291642788569</v>
      </c>
      <c r="E3">
        <v>89.388300561717102</v>
      </c>
      <c r="F3">
        <v>93.797390919725899</v>
      </c>
      <c r="G3">
        <v>94.082423201989059</v>
      </c>
    </row>
    <row r="4" spans="1:7" x14ac:dyDescent="0.35">
      <c r="A4" t="s">
        <v>9</v>
      </c>
      <c r="B4">
        <v>1972044</v>
      </c>
      <c r="C4">
        <v>2209919</v>
      </c>
      <c r="D4">
        <v>2447860</v>
      </c>
      <c r="E4">
        <v>2740185</v>
      </c>
      <c r="F4">
        <v>14757252</v>
      </c>
      <c r="G4">
        <v>14884820</v>
      </c>
    </row>
    <row r="6" spans="1:7" x14ac:dyDescent="0.35">
      <c r="A6" t="s">
        <v>10</v>
      </c>
      <c r="B6">
        <v>41.263790591174022</v>
      </c>
      <c r="C6">
        <v>30.881477893862861</v>
      </c>
      <c r="D6">
        <v>37.549079127718393</v>
      </c>
      <c r="E6">
        <v>40.192373221292527</v>
      </c>
      <c r="F6">
        <v>19.562518648608481</v>
      </c>
      <c r="G6">
        <v>14.943219047779831</v>
      </c>
    </row>
    <row r="7" spans="1:7" x14ac:dyDescent="0.35">
      <c r="A7" t="s">
        <v>11</v>
      </c>
      <c r="B7">
        <v>35.592664449371767</v>
      </c>
      <c r="C7">
        <v>20.112411772119991</v>
      </c>
      <c r="D7">
        <v>16.548801012232179</v>
      </c>
      <c r="E7">
        <v>14.778830492261189</v>
      </c>
      <c r="F7">
        <v>6.9700886242444291</v>
      </c>
      <c r="G7">
        <v>6.7588238314455653</v>
      </c>
    </row>
    <row r="8" spans="1:7" x14ac:dyDescent="0.35">
      <c r="A8" t="s">
        <v>12</v>
      </c>
      <c r="B8">
        <v>48.097412480974121</v>
      </c>
      <c r="C8">
        <v>27.10207551179429</v>
      </c>
      <c r="D8">
        <v>20.323250116256329</v>
      </c>
      <c r="E8">
        <v>19.868954025441969</v>
      </c>
      <c r="F8">
        <v>11.70166841734394</v>
      </c>
      <c r="G8">
        <v>11.47136111949894</v>
      </c>
    </row>
    <row r="9" spans="1:7" x14ac:dyDescent="0.35">
      <c r="A9" t="s">
        <v>13</v>
      </c>
      <c r="E9">
        <v>14.113454968190901</v>
      </c>
      <c r="F9">
        <v>6.2769406021044336</v>
      </c>
      <c r="G9">
        <v>5.5673231716507292</v>
      </c>
    </row>
    <row r="10" spans="1:7" x14ac:dyDescent="0.35">
      <c r="A10" t="s">
        <v>14</v>
      </c>
      <c r="B10">
        <v>10.91480028097709</v>
      </c>
      <c r="C10">
        <v>4.3885777785605251</v>
      </c>
      <c r="D10">
        <v>3.624652194244145</v>
      </c>
      <c r="E10">
        <v>3.5294448630787181</v>
      </c>
      <c r="F10">
        <v>2.2389827333642218</v>
      </c>
      <c r="G10">
        <v>2.5026186360778602</v>
      </c>
    </row>
    <row r="11" spans="1:7" x14ac:dyDescent="0.35">
      <c r="A11" t="s">
        <v>15</v>
      </c>
      <c r="B11">
        <v>29.943502824858761</v>
      </c>
      <c r="C11">
        <v>14.11992263056093</v>
      </c>
      <c r="D11">
        <v>25.407685306457701</v>
      </c>
      <c r="E11">
        <v>16.372483190610659</v>
      </c>
      <c r="F11">
        <v>11.30134029382854</v>
      </c>
      <c r="G11">
        <v>8.6339384222865814</v>
      </c>
    </row>
    <row r="12" spans="1:7" x14ac:dyDescent="0.35">
      <c r="A12" t="s">
        <v>16</v>
      </c>
      <c r="B12">
        <v>23.824583596879609</v>
      </c>
      <c r="C12">
        <v>25.04198332052486</v>
      </c>
      <c r="D12">
        <v>28.807203437618181</v>
      </c>
      <c r="E12">
        <v>25.144343421708282</v>
      </c>
      <c r="F12">
        <v>10.06834273909249</v>
      </c>
      <c r="G12">
        <v>9.1159877628439574</v>
      </c>
    </row>
    <row r="14" spans="1:7" x14ac:dyDescent="0.35">
      <c r="A14" t="s">
        <v>17</v>
      </c>
      <c r="B14">
        <v>23.300504996305278</v>
      </c>
      <c r="C14">
        <v>15.2006109169906</v>
      </c>
      <c r="D14">
        <v>17.66511758724921</v>
      </c>
      <c r="E14">
        <v>20.95878886470399</v>
      </c>
      <c r="F14">
        <v>12.46149788516572</v>
      </c>
      <c r="G14">
        <v>11.28582054928777</v>
      </c>
    </row>
    <row r="15" spans="1:7" x14ac:dyDescent="0.35">
      <c r="A15" t="s">
        <v>18</v>
      </c>
      <c r="B15">
        <v>10.974478731771329</v>
      </c>
      <c r="C15">
        <v>5.4776529435395043</v>
      </c>
      <c r="D15">
        <v>4.8923599106188531</v>
      </c>
      <c r="E15">
        <v>6.005536600225545</v>
      </c>
      <c r="F15">
        <v>3.1312032349289121</v>
      </c>
      <c r="G15">
        <v>3.311388005040083</v>
      </c>
    </row>
    <row r="17" spans="1:7" x14ac:dyDescent="0.35">
      <c r="A17" t="s">
        <v>19</v>
      </c>
      <c r="B17">
        <v>15.100921257358561</v>
      </c>
      <c r="C17">
        <v>7.5662464301235497</v>
      </c>
      <c r="D17">
        <v>6.931961680946551</v>
      </c>
      <c r="E17">
        <v>7.6523764149083533</v>
      </c>
      <c r="F17">
        <v>4.7819459042574817</v>
      </c>
      <c r="G17">
        <v>4.8896865935428453</v>
      </c>
    </row>
    <row r="18" spans="1:7" x14ac:dyDescent="0.35">
      <c r="A18" t="s">
        <v>20</v>
      </c>
      <c r="B18">
        <v>14.143101381492331</v>
      </c>
      <c r="C18">
        <v>20.149369531044439</v>
      </c>
      <c r="D18">
        <v>30.390120182644591</v>
      </c>
      <c r="E18">
        <v>32.582057701254392</v>
      </c>
      <c r="F18">
        <v>15.05452101540356</v>
      </c>
      <c r="G18">
        <v>11.79177952160955</v>
      </c>
    </row>
    <row r="20" spans="1:7" x14ac:dyDescent="0.35">
      <c r="A20" t="s">
        <v>21</v>
      </c>
      <c r="B20">
        <v>10.664587294436391</v>
      </c>
      <c r="C20">
        <v>6.8380569619002536</v>
      </c>
      <c r="D20">
        <v>8.247766684922107</v>
      </c>
      <c r="E20">
        <v>10.219405368829859</v>
      </c>
      <c r="F20">
        <v>5.6092620851298047</v>
      </c>
      <c r="G20">
        <v>5.2576261875042629</v>
      </c>
    </row>
    <row r="21" spans="1:7" x14ac:dyDescent="0.35">
      <c r="A21" t="s">
        <v>22</v>
      </c>
      <c r="B21">
        <v>6.9817828784314946</v>
      </c>
      <c r="C21">
        <v>3.2603974114670371</v>
      </c>
      <c r="D21">
        <v>3.153261927925294</v>
      </c>
      <c r="E21">
        <v>3.6386637193751721</v>
      </c>
      <c r="F21">
        <v>1.755590834728596</v>
      </c>
      <c r="G21">
        <v>2.245082406545349</v>
      </c>
    </row>
    <row r="22" spans="1:7" x14ac:dyDescent="0.35">
      <c r="A22" t="s">
        <v>23</v>
      </c>
      <c r="B22">
        <v>3.8251625456788951</v>
      </c>
      <c r="C22">
        <v>1.6717912529193339</v>
      </c>
      <c r="D22">
        <v>1.5500244103533529</v>
      </c>
      <c r="E22">
        <v>2.2356252633363498</v>
      </c>
      <c r="F22">
        <v>1.0333734459554731</v>
      </c>
      <c r="G22">
        <v>1.467309971027005</v>
      </c>
    </row>
    <row r="23" spans="1:7" x14ac:dyDescent="0.35">
      <c r="A23" t="s">
        <v>24</v>
      </c>
      <c r="B23">
        <v>2.3473971637452662</v>
      </c>
      <c r="C23">
        <v>1.214413696993828</v>
      </c>
      <c r="D23">
        <v>1.0617993764324101</v>
      </c>
      <c r="E23">
        <v>1.666100373358351</v>
      </c>
      <c r="F23">
        <v>0.6446839140196241</v>
      </c>
      <c r="G23">
        <v>1.072956562966523</v>
      </c>
    </row>
    <row r="25" spans="1:7" x14ac:dyDescent="0.35">
      <c r="A25" t="s">
        <v>21</v>
      </c>
      <c r="B25">
        <f>B20/$B20</f>
        <v>1</v>
      </c>
      <c r="C25">
        <f t="shared" ref="C25:G25" si="0">C20/$B20</f>
        <v>0.64119283504459657</v>
      </c>
      <c r="D25">
        <f t="shared" si="0"/>
        <v>0.77337889007902672</v>
      </c>
      <c r="E25">
        <f t="shared" si="0"/>
        <v>0.95825605686224924</v>
      </c>
      <c r="F25">
        <f t="shared" si="0"/>
        <v>0.52597085384223929</v>
      </c>
      <c r="G25">
        <f t="shared" si="0"/>
        <v>0.49299856078323012</v>
      </c>
    </row>
    <row r="26" spans="1:7" x14ac:dyDescent="0.35">
      <c r="A26" t="s">
        <v>22</v>
      </c>
      <c r="B26">
        <f t="shared" ref="B26:G28" si="1">B21/$B21</f>
        <v>1</v>
      </c>
      <c r="C26">
        <f t="shared" si="1"/>
        <v>0.4669863655513028</v>
      </c>
      <c r="D26">
        <f t="shared" si="1"/>
        <v>0.45164136193156668</v>
      </c>
      <c r="E26">
        <f t="shared" si="1"/>
        <v>0.52116540756601459</v>
      </c>
      <c r="F26">
        <f t="shared" si="1"/>
        <v>0.25145308373195951</v>
      </c>
      <c r="G26">
        <f t="shared" si="1"/>
        <v>0.32156290816218019</v>
      </c>
    </row>
    <row r="27" spans="1:7" x14ac:dyDescent="0.35">
      <c r="A27" t="s">
        <v>23</v>
      </c>
      <c r="B27">
        <f t="shared" si="1"/>
        <v>1</v>
      </c>
      <c r="C27">
        <f t="shared" si="1"/>
        <v>0.43705103585934596</v>
      </c>
      <c r="D27">
        <f t="shared" si="1"/>
        <v>0.40521791998207818</v>
      </c>
      <c r="E27">
        <f t="shared" si="1"/>
        <v>0.58445235637419635</v>
      </c>
      <c r="F27">
        <f t="shared" si="1"/>
        <v>0.27015151215543143</v>
      </c>
      <c r="G27">
        <f t="shared" si="1"/>
        <v>0.38359414887729559</v>
      </c>
    </row>
    <row r="28" spans="1:7" x14ac:dyDescent="0.35">
      <c r="A28" t="s">
        <v>24</v>
      </c>
      <c r="B28">
        <f t="shared" si="1"/>
        <v>1</v>
      </c>
      <c r="C28">
        <f t="shared" si="1"/>
        <v>0.51734479181879645</v>
      </c>
      <c r="D28">
        <f t="shared" si="1"/>
        <v>0.45233051859801682</v>
      </c>
      <c r="E28">
        <f t="shared" si="1"/>
        <v>0.70976501083442234</v>
      </c>
      <c r="F28">
        <f t="shared" si="1"/>
        <v>0.27463776644896026</v>
      </c>
      <c r="G28">
        <f t="shared" si="1"/>
        <v>0.45708352192716445</v>
      </c>
    </row>
    <row r="30" spans="1:7" x14ac:dyDescent="0.35">
      <c r="A30" t="s">
        <v>10</v>
      </c>
      <c r="B30">
        <f>B6/$B6</f>
        <v>1</v>
      </c>
      <c r="C30">
        <f t="shared" ref="C30:G30" si="2">C6/$B6</f>
        <v>0.74839168800134781</v>
      </c>
      <c r="D30">
        <f t="shared" si="2"/>
        <v>0.90997648518868324</v>
      </c>
      <c r="E30">
        <f t="shared" si="2"/>
        <v>0.97403492615361753</v>
      </c>
      <c r="F30">
        <f t="shared" si="2"/>
        <v>0.47408438169014799</v>
      </c>
      <c r="G30">
        <f t="shared" si="2"/>
        <v>0.36213878642007408</v>
      </c>
    </row>
    <row r="31" spans="1:7" x14ac:dyDescent="0.35">
      <c r="A31" t="s">
        <v>11</v>
      </c>
      <c r="B31">
        <f t="shared" ref="B31:G36" si="3">B7/$B7</f>
        <v>1</v>
      </c>
      <c r="C31">
        <f t="shared" si="3"/>
        <v>0.56507182261470135</v>
      </c>
      <c r="D31">
        <f t="shared" si="3"/>
        <v>0.46494976614554284</v>
      </c>
      <c r="E31">
        <f t="shared" si="3"/>
        <v>0.41522124631279311</v>
      </c>
      <c r="F31">
        <f t="shared" si="3"/>
        <v>0.19582935787678732</v>
      </c>
      <c r="G31">
        <f t="shared" si="3"/>
        <v>0.18989373052021855</v>
      </c>
    </row>
    <row r="32" spans="1:7" x14ac:dyDescent="0.35">
      <c r="A32" t="s">
        <v>12</v>
      </c>
      <c r="B32">
        <f t="shared" si="3"/>
        <v>1</v>
      </c>
      <c r="C32">
        <f t="shared" si="3"/>
        <v>0.56348302567243191</v>
      </c>
      <c r="D32">
        <f t="shared" si="3"/>
        <v>0.42254352298672182</v>
      </c>
      <c r="E32">
        <f t="shared" si="3"/>
        <v>0.41309818970618273</v>
      </c>
      <c r="F32">
        <f t="shared" si="3"/>
        <v>0.24329101741123321</v>
      </c>
      <c r="G32">
        <f t="shared" si="3"/>
        <v>0.23850266631363304</v>
      </c>
    </row>
    <row r="33" spans="1:7" x14ac:dyDescent="0.35">
      <c r="A33" t="s">
        <v>13</v>
      </c>
      <c r="B33" t="e">
        <f t="shared" si="3"/>
        <v>#DIV/0!</v>
      </c>
      <c r="C33" t="e">
        <f t="shared" si="3"/>
        <v>#DIV/0!</v>
      </c>
      <c r="D33" t="e">
        <f t="shared" si="3"/>
        <v>#DIV/0!</v>
      </c>
      <c r="E33" t="e">
        <f t="shared" si="3"/>
        <v>#DIV/0!</v>
      </c>
      <c r="F33" t="e">
        <f t="shared" si="3"/>
        <v>#DIV/0!</v>
      </c>
      <c r="G33" t="e">
        <f t="shared" si="3"/>
        <v>#DIV/0!</v>
      </c>
    </row>
    <row r="34" spans="1:7" x14ac:dyDescent="0.35">
      <c r="A34" t="s">
        <v>14</v>
      </c>
      <c r="B34">
        <f t="shared" si="3"/>
        <v>1</v>
      </c>
      <c r="C34">
        <f t="shared" si="3"/>
        <v>0.40207586630872011</v>
      </c>
      <c r="D34">
        <f t="shared" si="3"/>
        <v>0.33208598425400293</v>
      </c>
      <c r="E34">
        <f t="shared" si="3"/>
        <v>0.32336321070666108</v>
      </c>
      <c r="F34">
        <f t="shared" si="3"/>
        <v>0.20513272581509742</v>
      </c>
      <c r="G34">
        <f t="shared" si="3"/>
        <v>0.22928670902385273</v>
      </c>
    </row>
    <row r="35" spans="1:7" x14ac:dyDescent="0.35">
      <c r="A35" t="s">
        <v>15</v>
      </c>
      <c r="B35">
        <f t="shared" si="3"/>
        <v>1</v>
      </c>
      <c r="C35">
        <f t="shared" si="3"/>
        <v>0.47155213313382721</v>
      </c>
      <c r="D35">
        <f t="shared" si="3"/>
        <v>0.84852081117792688</v>
      </c>
      <c r="E35">
        <f t="shared" si="3"/>
        <v>0.54677915561095969</v>
      </c>
      <c r="F35">
        <f t="shared" si="3"/>
        <v>0.37742211924672664</v>
      </c>
      <c r="G35">
        <f t="shared" si="3"/>
        <v>0.28834096240466506</v>
      </c>
    </row>
    <row r="36" spans="1:7" x14ac:dyDescent="0.35">
      <c r="A36" t="s">
        <v>16</v>
      </c>
      <c r="B36">
        <f t="shared" si="3"/>
        <v>1</v>
      </c>
      <c r="C36">
        <f t="shared" si="3"/>
        <v>1.051098468046455</v>
      </c>
      <c r="D36">
        <f t="shared" si="3"/>
        <v>1.2091377513683457</v>
      </c>
      <c r="E36">
        <f t="shared" si="3"/>
        <v>1.0553948747713486</v>
      </c>
      <c r="F36">
        <f t="shared" si="3"/>
        <v>0.42260309390721845</v>
      </c>
      <c r="G36">
        <f t="shared" si="3"/>
        <v>0.38262946866521147</v>
      </c>
    </row>
    <row r="38" spans="1:7" x14ac:dyDescent="0.35">
      <c r="A38" t="s">
        <v>17</v>
      </c>
      <c r="B38">
        <f>B14/$B14</f>
        <v>1</v>
      </c>
      <c r="C38">
        <f t="shared" ref="C38:G38" si="4">C14/$B14</f>
        <v>0.65237259533220138</v>
      </c>
      <c r="D38">
        <f t="shared" si="4"/>
        <v>0.75814312136369311</v>
      </c>
      <c r="E38">
        <f t="shared" si="4"/>
        <v>0.89949933995110365</v>
      </c>
      <c r="F38">
        <f t="shared" si="4"/>
        <v>0.53481664398010764</v>
      </c>
      <c r="G38">
        <f t="shared" si="4"/>
        <v>0.48435948281281216</v>
      </c>
    </row>
    <row r="39" spans="1:7" x14ac:dyDescent="0.35">
      <c r="A39" t="s">
        <v>18</v>
      </c>
      <c r="B39">
        <f>B15/$B15</f>
        <v>1</v>
      </c>
      <c r="C39">
        <f t="shared" ref="C39:G39" si="5">C15/$B15</f>
        <v>0.49912648039324115</v>
      </c>
      <c r="D39">
        <f t="shared" si="5"/>
        <v>0.44579428601518684</v>
      </c>
      <c r="E39">
        <f t="shared" si="5"/>
        <v>0.54722750364802297</v>
      </c>
      <c r="F39">
        <f t="shared" si="5"/>
        <v>0.28531680742740134</v>
      </c>
      <c r="G39">
        <f t="shared" si="5"/>
        <v>0.30173533394834967</v>
      </c>
    </row>
    <row r="41" spans="1:7" x14ac:dyDescent="0.35">
      <c r="A41" t="s">
        <v>21</v>
      </c>
      <c r="B41">
        <f>B20/B$23</f>
        <v>4.543154204643014</v>
      </c>
      <c r="C41">
        <f t="shared" ref="C41:G41" si="6">C20/C$23</f>
        <v>5.6307475605942603</v>
      </c>
      <c r="D41">
        <f t="shared" si="6"/>
        <v>7.7677260582259597</v>
      </c>
      <c r="E41">
        <f t="shared" si="6"/>
        <v>6.133727314537869</v>
      </c>
      <c r="F41">
        <f t="shared" si="6"/>
        <v>8.7007942390804853</v>
      </c>
      <c r="G41">
        <f t="shared" si="6"/>
        <v>4.9001295755793839</v>
      </c>
    </row>
    <row r="42" spans="1:7" x14ac:dyDescent="0.35">
      <c r="A42" t="s">
        <v>22</v>
      </c>
      <c r="B42">
        <f t="shared" ref="B42:G44" si="7">B21/B$23</f>
        <v>2.9742657042713971</v>
      </c>
      <c r="C42">
        <f t="shared" si="7"/>
        <v>2.684750196360481</v>
      </c>
      <c r="D42">
        <f t="shared" si="7"/>
        <v>2.9697342058347105</v>
      </c>
      <c r="E42">
        <f t="shared" si="7"/>
        <v>2.1839402820856066</v>
      </c>
      <c r="F42">
        <f t="shared" si="7"/>
        <v>2.7231807658770837</v>
      </c>
      <c r="G42">
        <f t="shared" si="7"/>
        <v>2.0924261839063818</v>
      </c>
    </row>
    <row r="43" spans="1:7" x14ac:dyDescent="0.35">
      <c r="A43" t="s">
        <v>23</v>
      </c>
      <c r="B43">
        <f t="shared" si="7"/>
        <v>1.6295335977895866</v>
      </c>
      <c r="C43">
        <f t="shared" si="7"/>
        <v>1.376624174330134</v>
      </c>
      <c r="D43">
        <f t="shared" si="7"/>
        <v>1.4598091172000431</v>
      </c>
      <c r="E43">
        <f t="shared" si="7"/>
        <v>1.341831079978699</v>
      </c>
      <c r="F43">
        <f t="shared" si="7"/>
        <v>1.6029148912873563</v>
      </c>
      <c r="G43">
        <f t="shared" si="7"/>
        <v>1.3675390241056629</v>
      </c>
    </row>
    <row r="44" spans="1:7" x14ac:dyDescent="0.35">
      <c r="A44" t="s">
        <v>24</v>
      </c>
      <c r="B44">
        <f t="shared" si="7"/>
        <v>1</v>
      </c>
      <c r="C44">
        <f t="shared" si="7"/>
        <v>1</v>
      </c>
      <c r="D44">
        <f t="shared" si="7"/>
        <v>1</v>
      </c>
      <c r="E44">
        <f t="shared" si="7"/>
        <v>1</v>
      </c>
      <c r="F44">
        <f t="shared" si="7"/>
        <v>1</v>
      </c>
      <c r="G44">
        <f t="shared" si="7"/>
        <v>1</v>
      </c>
    </row>
    <row r="46" spans="1:7" x14ac:dyDescent="0.35">
      <c r="A46" t="s">
        <v>10</v>
      </c>
      <c r="B46">
        <f>B6/B$10</f>
        <v>3.7805355598755948</v>
      </c>
      <c r="C46">
        <f t="shared" ref="C46:G46" si="8">C6/C$10</f>
        <v>7.0367849112137959</v>
      </c>
      <c r="D46">
        <f t="shared" si="8"/>
        <v>10.359360599437753</v>
      </c>
      <c r="E46">
        <f t="shared" si="8"/>
        <v>11.387732286667006</v>
      </c>
      <c r="F46">
        <f t="shared" si="8"/>
        <v>8.7372351546519003</v>
      </c>
      <c r="G46">
        <f t="shared" si="8"/>
        <v>5.9710332338925829</v>
      </c>
    </row>
    <row r="47" spans="1:7" x14ac:dyDescent="0.35">
      <c r="A47" t="s">
        <v>11</v>
      </c>
      <c r="B47">
        <f t="shared" ref="B47:G52" si="9">B7/B$10</f>
        <v>3.2609542578075943</v>
      </c>
      <c r="C47">
        <f t="shared" si="9"/>
        <v>4.5828996971125715</v>
      </c>
      <c r="D47">
        <f t="shared" si="9"/>
        <v>4.5656245414418661</v>
      </c>
      <c r="E47">
        <f t="shared" si="9"/>
        <v>4.1872960382131268</v>
      </c>
      <c r="F47">
        <f t="shared" si="9"/>
        <v>3.113060462851986</v>
      </c>
      <c r="G47">
        <f t="shared" si="9"/>
        <v>2.7007006716924682</v>
      </c>
    </row>
    <row r="48" spans="1:7" x14ac:dyDescent="0.35">
      <c r="A48" t="s">
        <v>12</v>
      </c>
      <c r="B48">
        <f t="shared" si="9"/>
        <v>4.4066232311003359</v>
      </c>
      <c r="C48">
        <f t="shared" si="9"/>
        <v>6.1755942082639592</v>
      </c>
      <c r="D48">
        <f t="shared" si="9"/>
        <v>5.606951792099979</v>
      </c>
      <c r="E48">
        <f t="shared" si="9"/>
        <v>5.6294841812914385</v>
      </c>
      <c r="F48">
        <f t="shared" si="9"/>
        <v>5.2263325853171718</v>
      </c>
      <c r="G48">
        <f t="shared" si="9"/>
        <v>4.5837431856885003</v>
      </c>
    </row>
    <row r="49" spans="1:7" x14ac:dyDescent="0.35">
      <c r="A49" t="s">
        <v>13</v>
      </c>
      <c r="B49">
        <f t="shared" si="9"/>
        <v>0</v>
      </c>
      <c r="C49">
        <f t="shared" si="9"/>
        <v>0</v>
      </c>
      <c r="D49">
        <f t="shared" si="9"/>
        <v>0</v>
      </c>
      <c r="E49">
        <f t="shared" si="9"/>
        <v>3.9987747409885306</v>
      </c>
      <c r="F49">
        <f t="shared" si="9"/>
        <v>2.8034787890806596</v>
      </c>
      <c r="G49">
        <f t="shared" si="9"/>
        <v>2.2245991024728875</v>
      </c>
    </row>
    <row r="50" spans="1:7" x14ac:dyDescent="0.35">
      <c r="A50" t="s">
        <v>14</v>
      </c>
      <c r="B50">
        <f t="shared" si="9"/>
        <v>1</v>
      </c>
      <c r="C50">
        <f t="shared" si="9"/>
        <v>1</v>
      </c>
      <c r="D50">
        <f t="shared" si="9"/>
        <v>1</v>
      </c>
      <c r="E50">
        <f t="shared" si="9"/>
        <v>1</v>
      </c>
      <c r="F50">
        <f t="shared" si="9"/>
        <v>1</v>
      </c>
      <c r="G50">
        <f t="shared" si="9"/>
        <v>1</v>
      </c>
    </row>
    <row r="51" spans="1:7" x14ac:dyDescent="0.35">
      <c r="A51" t="s">
        <v>15</v>
      </c>
      <c r="B51">
        <f t="shared" si="9"/>
        <v>2.7433853166370743</v>
      </c>
      <c r="C51">
        <f t="shared" si="9"/>
        <v>3.2174256314974858</v>
      </c>
      <c r="D51">
        <f t="shared" si="9"/>
        <v>7.0096891908151786</v>
      </c>
      <c r="E51">
        <f t="shared" si="9"/>
        <v>4.6388267350149279</v>
      </c>
      <c r="F51">
        <f t="shared" si="9"/>
        <v>5.0475334737608799</v>
      </c>
      <c r="G51">
        <f t="shared" si="9"/>
        <v>3.4499616912538515</v>
      </c>
    </row>
    <row r="52" spans="1:7" x14ac:dyDescent="0.35">
      <c r="A52" t="s">
        <v>16</v>
      </c>
      <c r="B52">
        <f t="shared" si="9"/>
        <v>2.1827777864522537</v>
      </c>
      <c r="C52">
        <f t="shared" si="9"/>
        <v>5.7061728386955357</v>
      </c>
      <c r="D52">
        <f t="shared" si="9"/>
        <v>7.9475772829633931</v>
      </c>
      <c r="E52">
        <f t="shared" si="9"/>
        <v>7.1241638266520448</v>
      </c>
      <c r="F52">
        <f t="shared" si="9"/>
        <v>4.4968380457155774</v>
      </c>
      <c r="G52">
        <f t="shared" si="9"/>
        <v>3.6425796689225747</v>
      </c>
    </row>
    <row r="54" spans="1:7" x14ac:dyDescent="0.35">
      <c r="A54" t="s">
        <v>17</v>
      </c>
      <c r="B54">
        <f>B14/B$15</f>
        <v>2.1231536882795048</v>
      </c>
      <c r="C54">
        <f t="shared" ref="C54:G54" si="10">C14/C$15</f>
        <v>2.7750226371896418</v>
      </c>
      <c r="D54">
        <f t="shared" si="10"/>
        <v>3.6107559357820596</v>
      </c>
      <c r="E54">
        <f t="shared" si="10"/>
        <v>3.4899111036833674</v>
      </c>
      <c r="F54">
        <f t="shared" si="10"/>
        <v>3.9797793213025452</v>
      </c>
      <c r="G54">
        <f t="shared" si="10"/>
        <v>3.4081842816698731</v>
      </c>
    </row>
    <row r="55" spans="1:7" x14ac:dyDescent="0.35">
      <c r="A55" t="s">
        <v>18</v>
      </c>
      <c r="B55">
        <f>B15/B$15</f>
        <v>1</v>
      </c>
      <c r="C55">
        <f t="shared" ref="C55:G55" si="11">C15/C$15</f>
        <v>1</v>
      </c>
      <c r="D55">
        <f t="shared" si="11"/>
        <v>1</v>
      </c>
      <c r="E55">
        <f t="shared" si="11"/>
        <v>1</v>
      </c>
      <c r="F55">
        <f t="shared" si="11"/>
        <v>1</v>
      </c>
      <c r="G55">
        <f t="shared" si="11"/>
        <v>1</v>
      </c>
    </row>
    <row r="57" spans="1:7" x14ac:dyDescent="0.35">
      <c r="A57" t="s">
        <v>19</v>
      </c>
      <c r="B57">
        <f>B17/B$17</f>
        <v>1</v>
      </c>
      <c r="C57">
        <f t="shared" ref="C57:G57" si="12">C17/C$17</f>
        <v>1</v>
      </c>
      <c r="D57">
        <f t="shared" si="12"/>
        <v>1</v>
      </c>
      <c r="E57">
        <f t="shared" si="12"/>
        <v>1</v>
      </c>
      <c r="F57">
        <f t="shared" si="12"/>
        <v>1</v>
      </c>
      <c r="G57">
        <f t="shared" si="12"/>
        <v>1</v>
      </c>
    </row>
    <row r="58" spans="1:7" x14ac:dyDescent="0.35">
      <c r="A58" t="s">
        <v>20</v>
      </c>
      <c r="B58">
        <f>B18/B$17</f>
        <v>0.93657208990481344</v>
      </c>
      <c r="C58">
        <f t="shared" ref="C58:G58" si="13">C18/C$17</f>
        <v>2.6630601735126698</v>
      </c>
      <c r="D58">
        <f t="shared" si="13"/>
        <v>4.3840577287344233</v>
      </c>
      <c r="E58">
        <f t="shared" si="13"/>
        <v>4.257769865812933</v>
      </c>
      <c r="F58">
        <f t="shared" si="13"/>
        <v>3.1481997740710863</v>
      </c>
      <c r="G58">
        <f t="shared" si="13"/>
        <v>2.4115614152410862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Lorae T. Stojanovic</dc:creator>
  <cp:lastModifiedBy>Lorae T. Stojanovic</cp:lastModifiedBy>
  <dcterms:created xsi:type="dcterms:W3CDTF">2026-01-13T18:14:51Z</dcterms:created>
  <dcterms:modified xsi:type="dcterms:W3CDTF">2026-01-26T17:43:51Z</dcterms:modified>
</cp:coreProperties>
</file>