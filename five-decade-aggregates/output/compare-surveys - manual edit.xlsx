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4540\Documents\dev\households-over-the-years\output\five-decade-tables\"/>
    </mc:Choice>
  </mc:AlternateContent>
  <xr:revisionPtr revIDLastSave="0" documentId="13_ncr:1_{5C8BCC54-A290-41D4-91A1-3BAD9567CF3B}" xr6:coauthVersionLast="47" xr6:coauthVersionMax="47" xr10:uidLastSave="{00000000-0000-0000-0000-000000000000}"/>
  <bookViews>
    <workbookView xWindow="20" yWindow="740" windowWidth="23020" windowHeight="14620" xr2:uid="{00000000-000D-0000-FFFF-FFFF00000000}"/>
  </bookViews>
  <sheets>
    <sheet name="compare_survey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E17" i="1"/>
  <c r="F17" i="1"/>
  <c r="G17" i="1"/>
  <c r="B17" i="1"/>
  <c r="G16" i="1"/>
  <c r="F16" i="1"/>
  <c r="C16" i="1"/>
  <c r="D16" i="1"/>
  <c r="E16" i="1"/>
  <c r="B16" i="1"/>
  <c r="G18" i="1"/>
</calcChain>
</file>

<file path=xl/sharedStrings.xml><?xml version="1.0" encoding="utf-8"?>
<sst xmlns="http://schemas.openxmlformats.org/spreadsheetml/2006/main" count="19" uniqueCount="19">
  <si>
    <t>row</t>
  </si>
  <si>
    <t>1970</t>
  </si>
  <si>
    <t>1980</t>
  </si>
  <si>
    <t>1990</t>
  </si>
  <si>
    <t>2000</t>
  </si>
  <si>
    <t>2010</t>
  </si>
  <si>
    <t>2020</t>
  </si>
  <si>
    <t>ACS sample (unweighted)</t>
  </si>
  <si>
    <t>ACS population (weighted)</t>
  </si>
  <si>
    <t>CPS sample (unweighted)</t>
  </si>
  <si>
    <t>CPS population (weighted)</t>
  </si>
  <si>
    <t>ACS average household size (non-GQ)</t>
  </si>
  <si>
    <t>CPS average household size (non-GQ)</t>
  </si>
  <si>
    <t>ACS percent in group quarters</t>
  </si>
  <si>
    <t>CPS percent in group quarters</t>
  </si>
  <si>
    <t>Decennial sample (unweighted)</t>
  </si>
  <si>
    <t>Decennial population (weighted)</t>
  </si>
  <si>
    <t>Decennial average household size (non-GQ)</t>
  </si>
  <si>
    <t>Decennial percent in group quarters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</si>
</sst>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\%"/>
    <numFmt numFmtId="167" formatCode="0.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1" applyNumberFormat="1" applyFont="1"/>
    <xf numFmtId="2" fontId="0" fillId="0" borderId="0" xfId="0" applyNumberFormat="1"/>
    <xf numFmtId="165" fontId="0" fillId="0" borderId="0" xfId="0" applyNumberFormat="1"/>
    <xf numFmtId="167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D25" sqref="D25"/>
    </sheetView>
  </sheetViews>
  <sheetFormatPr defaultRowHeight="15" x14ac:dyDescent="0.25"/>
  <cols>
    <col min="1" max="1" width="46.5703125" customWidth="1"/>
    <col min="2" max="7" width="12.57031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15</v>
      </c>
      <c r="B2" s="2">
        <v>2030276</v>
      </c>
      <c r="C2" s="2">
        <v>2267320</v>
      </c>
      <c r="D2" s="2">
        <v>2500052</v>
      </c>
      <c r="E2" s="2">
        <v>2818644</v>
      </c>
      <c r="F2" s="2"/>
      <c r="G2" s="2"/>
    </row>
    <row r="3" spans="1:7" x14ac:dyDescent="0.25">
      <c r="A3" t="s">
        <v>16</v>
      </c>
      <c r="B3" s="2">
        <v>203027600</v>
      </c>
      <c r="C3" s="2">
        <v>226732000</v>
      </c>
      <c r="D3" s="2">
        <v>248124018</v>
      </c>
      <c r="E3" s="2">
        <v>281421906</v>
      </c>
      <c r="F3" s="2"/>
      <c r="G3" s="2"/>
    </row>
    <row r="4" spans="1:7" x14ac:dyDescent="0.25">
      <c r="A4" t="s">
        <v>7</v>
      </c>
      <c r="B4" s="2"/>
      <c r="C4" s="2"/>
      <c r="D4" s="2"/>
      <c r="E4" s="2"/>
      <c r="F4" s="2">
        <v>15318124</v>
      </c>
      <c r="G4" s="2">
        <v>15721123</v>
      </c>
    </row>
    <row r="5" spans="1:7" x14ac:dyDescent="0.25">
      <c r="A5" t="s">
        <v>8</v>
      </c>
      <c r="B5" s="2"/>
      <c r="C5" s="2"/>
      <c r="D5" s="2"/>
      <c r="E5" s="2"/>
      <c r="F5" s="2">
        <v>309138716</v>
      </c>
      <c r="G5" s="2">
        <v>331097594</v>
      </c>
    </row>
    <row r="6" spans="1:7" x14ac:dyDescent="0.25">
      <c r="A6" t="s">
        <v>9</v>
      </c>
      <c r="B6" s="2">
        <v>145023</v>
      </c>
      <c r="C6" s="2">
        <v>181488</v>
      </c>
      <c r="D6" s="2">
        <v>158079</v>
      </c>
      <c r="E6" s="2">
        <v>133710</v>
      </c>
      <c r="F6" s="2">
        <v>209802</v>
      </c>
      <c r="G6" s="2">
        <v>157959</v>
      </c>
    </row>
    <row r="7" spans="1:7" x14ac:dyDescent="0.25">
      <c r="A7" t="s">
        <v>10</v>
      </c>
      <c r="B7" s="2">
        <v>200223389.68000951</v>
      </c>
      <c r="C7" s="2">
        <v>218100210.06999841</v>
      </c>
      <c r="D7" s="2">
        <v>246191485.70999849</v>
      </c>
      <c r="E7" s="2">
        <v>274087002.22999978</v>
      </c>
      <c r="F7" s="2">
        <v>304281697.84001482</v>
      </c>
      <c r="G7" s="2">
        <v>327601104.57110149</v>
      </c>
    </row>
    <row r="8" spans="1:7" x14ac:dyDescent="0.25">
      <c r="A8" t="s">
        <v>17</v>
      </c>
      <c r="B8" s="3">
        <v>4.1731056710702186</v>
      </c>
      <c r="C8" s="3">
        <v>3.6288203323289219</v>
      </c>
      <c r="D8" s="3">
        <v>3.4712394947410798</v>
      </c>
      <c r="E8" s="3">
        <v>3.4695819554132181</v>
      </c>
      <c r="F8" s="3"/>
      <c r="G8" s="3"/>
    </row>
    <row r="9" spans="1:7" x14ac:dyDescent="0.25">
      <c r="A9" t="s">
        <v>11</v>
      </c>
      <c r="B9" s="3"/>
      <c r="C9" s="3"/>
      <c r="D9" s="3"/>
      <c r="E9" s="3"/>
      <c r="F9" s="3">
        <v>3.3891180405291812</v>
      </c>
      <c r="G9" s="3">
        <v>3.3616683660673909</v>
      </c>
    </row>
    <row r="10" spans="1:7" x14ac:dyDescent="0.25">
      <c r="A10" t="s">
        <v>12</v>
      </c>
      <c r="B10" s="3">
        <v>4.2275479932428901</v>
      </c>
      <c r="C10" s="3">
        <v>3.6219322015035491</v>
      </c>
      <c r="D10" s="3">
        <v>3.4209184402982702</v>
      </c>
      <c r="E10" s="3">
        <v>3.400824338536891</v>
      </c>
      <c r="F10" s="3">
        <v>3.3945926421540449</v>
      </c>
      <c r="G10" s="3">
        <v>3.3119223575788781</v>
      </c>
    </row>
    <row r="11" spans="1:7" x14ac:dyDescent="0.25">
      <c r="A11" t="s">
        <v>18</v>
      </c>
      <c r="B11" s="4">
        <v>2.8681814689234368</v>
      </c>
      <c r="C11" s="4">
        <v>2.531667342942328</v>
      </c>
      <c r="D11" s="4">
        <v>2.6727581849815119</v>
      </c>
      <c r="E11" s="4">
        <v>2.7779688905951758</v>
      </c>
      <c r="F11" s="4"/>
      <c r="G11" s="4"/>
    </row>
    <row r="12" spans="1:7" x14ac:dyDescent="0.25">
      <c r="A12" t="s">
        <v>13</v>
      </c>
      <c r="B12" s="4"/>
      <c r="C12" s="4"/>
      <c r="D12" s="4"/>
      <c r="E12" s="4"/>
      <c r="F12" s="4">
        <v>2.6004419970483408</v>
      </c>
      <c r="G12" s="4">
        <v>2.4717068768551669</v>
      </c>
    </row>
    <row r="13" spans="1:7" x14ac:dyDescent="0.25">
      <c r="A13" t="s">
        <v>14</v>
      </c>
      <c r="B13" s="4">
        <v>0.42714682403830578</v>
      </c>
      <c r="C13" s="4">
        <v>0.2836475488957369</v>
      </c>
      <c r="D13" s="4">
        <v>0.16947549944577761</v>
      </c>
      <c r="E13" s="4">
        <v>6.7735725696400378E-2</v>
      </c>
      <c r="F13" s="4">
        <v>4.7028017464015998E-2</v>
      </c>
      <c r="G13" s="4">
        <v>6.3563882506630906E-2</v>
      </c>
    </row>
    <row r="16" spans="1:7" x14ac:dyDescent="0.25">
      <c r="B16">
        <f>B10/B8</f>
        <v>1.0130459965464305</v>
      </c>
      <c r="C16">
        <f t="shared" ref="C16:E16" si="0">C10/C8</f>
        <v>0.99810182643543777</v>
      </c>
      <c r="D16">
        <f t="shared" si="0"/>
        <v>0.98550343342225566</v>
      </c>
      <c r="E16">
        <f t="shared" si="0"/>
        <v>0.98018273735570594</v>
      </c>
      <c r="F16">
        <f>F10/F9</f>
        <v>1.0016153469898053</v>
      </c>
      <c r="G16">
        <f>G10/G9</f>
        <v>0.98520198809893089</v>
      </c>
    </row>
    <row r="17" spans="2:7" x14ac:dyDescent="0.25">
      <c r="B17" s="5">
        <f>ABS(B16-1)</f>
        <v>1.3045996546430461E-2</v>
      </c>
      <c r="C17" s="5">
        <f t="shared" ref="C17:G17" si="1">ABS(C16-1)</f>
        <v>1.8981735645622333E-3</v>
      </c>
      <c r="D17" s="5">
        <f t="shared" si="1"/>
        <v>1.4496566577744341E-2</v>
      </c>
      <c r="E17" s="5">
        <f t="shared" si="1"/>
        <v>1.9817262644294065E-2</v>
      </c>
      <c r="F17" s="5">
        <f t="shared" si="1"/>
        <v>1.6153469898052553E-3</v>
      </c>
      <c r="G17" s="5">
        <f t="shared" si="1"/>
        <v>1.4798011901069108E-2</v>
      </c>
    </row>
    <row r="18" spans="2:7" x14ac:dyDescent="0.25">
      <c r="G18">
        <f>G9/B8-1</f>
        <v>-0.19444446629474632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compare_surveys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Lorae T. Stojanovic</cp:lastModifiedBy>
  <dcterms:created xsi:type="dcterms:W3CDTF">2026-01-30T20:32:04Z</dcterms:created>
  <dcterms:modified xsi:type="dcterms:W3CDTF">2026-01-30T20:58:46Z</dcterms:modified>
</cp:coreProperties>
</file>