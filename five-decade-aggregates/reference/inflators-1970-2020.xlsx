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reference\"/>
    </mc:Choice>
  </mc:AlternateContent>
  <xr:revisionPtr revIDLastSave="0" documentId="13_ncr:1_{1E7A3776-DA3B-48A9-846D-FEBF689F5F87}" xr6:coauthVersionLast="47" xr6:coauthVersionMax="47" xr10:uidLastSave="{00000000-0000-0000-0000-000000000000}"/>
  <bookViews>
    <workbookView xWindow="-110" yWindow="-110" windowWidth="23260" windowHeight="14860" activeTab="4" xr2:uid="{1B5009E0-B0EE-4A60-9423-4970FABC966F}"/>
  </bookViews>
  <sheets>
    <sheet name="inflation-input" sheetId="1" r:id="rId1"/>
    <sheet name="inflation-calc" sheetId="2" r:id="rId2"/>
    <sheet name="inflation-output" sheetId="3" r:id="rId3"/>
    <sheet name="topcode-input" sheetId="5" r:id="rId4"/>
    <sheet name="topcode-calc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10" i="4"/>
  <c r="E17" i="4"/>
  <c r="E18" i="4"/>
  <c r="E25" i="4"/>
  <c r="F5" i="4"/>
  <c r="E5" i="4"/>
  <c r="D6" i="4"/>
  <c r="E6" i="4" s="1"/>
  <c r="D7" i="4"/>
  <c r="E7" i="4" s="1"/>
  <c r="D8" i="4"/>
  <c r="E8" i="4" s="1"/>
  <c r="D9" i="4"/>
  <c r="D10" i="4"/>
  <c r="D11" i="4"/>
  <c r="E11" i="4" s="1"/>
  <c r="D12" i="4"/>
  <c r="E12" i="4" s="1"/>
  <c r="D13" i="4"/>
  <c r="E13" i="4" s="1"/>
  <c r="D14" i="4"/>
  <c r="E14" i="4" s="1"/>
  <c r="D15" i="4"/>
  <c r="E15" i="4" s="1"/>
  <c r="D16" i="4"/>
  <c r="E16" i="4" s="1"/>
  <c r="D17" i="4"/>
  <c r="D18" i="4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E32" i="4" s="1"/>
  <c r="D5" i="4"/>
  <c r="D12" i="2"/>
  <c r="D17" i="2"/>
  <c r="D18" i="2"/>
  <c r="D19" i="2"/>
  <c r="D20" i="2"/>
  <c r="D25" i="2"/>
  <c r="D26" i="2"/>
  <c r="D27" i="2"/>
  <c r="D28" i="2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C13" i="2"/>
  <c r="D13" i="2" s="1"/>
  <c r="C14" i="2"/>
  <c r="D14" i="2" s="1"/>
  <c r="C15" i="2"/>
  <c r="D15" i="2" s="1"/>
  <c r="C16" i="2"/>
  <c r="D16" i="2" s="1"/>
  <c r="C17" i="2"/>
  <c r="C18" i="2"/>
  <c r="C19" i="2"/>
  <c r="C20" i="2"/>
  <c r="C21" i="2"/>
  <c r="D21" i="2" s="1"/>
  <c r="C22" i="2"/>
  <c r="D22" i="2" s="1"/>
  <c r="C23" i="2"/>
  <c r="D23" i="2" s="1"/>
  <c r="C24" i="2"/>
  <c r="D24" i="2" s="1"/>
  <c r="C25" i="2"/>
  <c r="C26" i="2"/>
  <c r="C27" i="2"/>
  <c r="C28" i="2"/>
  <c r="C29" i="2"/>
  <c r="D29" i="2" s="1"/>
  <c r="C30" i="2"/>
  <c r="D30" i="2" s="1"/>
  <c r="C3" i="2"/>
  <c r="D3" i="2" s="1"/>
  <c r="G15" i="4" l="1"/>
  <c r="G10" i="4"/>
  <c r="G9" i="4"/>
  <c r="G25" i="4"/>
  <c r="G17" i="4"/>
  <c r="G5" i="4"/>
  <c r="G16" i="4"/>
  <c r="G24" i="4"/>
  <c r="G8" i="4"/>
  <c r="G23" i="4"/>
  <c r="G7" i="4"/>
  <c r="G22" i="4"/>
  <c r="G6" i="4"/>
  <c r="G29" i="4"/>
  <c r="H5" i="4"/>
  <c r="G28" i="4"/>
  <c r="G12" i="4"/>
  <c r="F8" i="4"/>
  <c r="G27" i="4"/>
  <c r="G19" i="4"/>
  <c r="G11" i="4"/>
  <c r="G32" i="4"/>
  <c r="G31" i="4"/>
  <c r="G30" i="4"/>
  <c r="G14" i="4"/>
  <c r="G21" i="4"/>
  <c r="G13" i="4"/>
  <c r="G20" i="4"/>
  <c r="H8" i="4"/>
  <c r="G26" i="4"/>
  <c r="G18" i="4"/>
  <c r="F7" i="4"/>
  <c r="F6" i="4"/>
  <c r="H18" i="4" l="1"/>
  <c r="H26" i="4"/>
  <c r="H11" i="4"/>
  <c r="H27" i="4"/>
  <c r="H20" i="4"/>
  <c r="H28" i="4"/>
  <c r="H21" i="4"/>
  <c r="H10" i="4"/>
  <c r="H19" i="4"/>
  <c r="H12" i="4"/>
  <c r="H13" i="4"/>
  <c r="H29" i="4"/>
  <c r="H9" i="4"/>
  <c r="H16" i="4"/>
  <c r="H25" i="4"/>
  <c r="H6" i="4"/>
  <c r="H23" i="4"/>
  <c r="H24" i="4"/>
  <c r="H32" i="4"/>
  <c r="H14" i="4"/>
  <c r="H22" i="4"/>
  <c r="H7" i="4"/>
  <c r="H30" i="4"/>
  <c r="H15" i="4"/>
  <c r="H31" i="4"/>
  <c r="H17" i="4"/>
</calcChain>
</file>

<file path=xl/sharedStrings.xml><?xml version="1.0" encoding="utf-8"?>
<sst xmlns="http://schemas.openxmlformats.org/spreadsheetml/2006/main" count="164" uniqueCount="63">
  <si>
    <t>Data Year</t>
  </si>
  <si>
    <t>Income Year</t>
  </si>
  <si>
    <t>X</t>
  </si>
  <si>
    <t>CPI99</t>
  </si>
  <si>
    <t>=</t>
  </si>
  <si>
    <t>1999 dollars</t>
  </si>
  <si>
    <t>1939 dollars</t>
  </si>
  <si>
    <t>1949 dollars</t>
  </si>
  <si>
    <t>1959 dollars</t>
  </si>
  <si>
    <t>1969 dollars</t>
  </si>
  <si>
    <t>1979 dollars</t>
  </si>
  <si>
    <t>1989 dollars</t>
  </si>
  <si>
    <t>2000 (ACS)</t>
  </si>
  <si>
    <t>2000 dollars</t>
  </si>
  <si>
    <t>2001 dollars</t>
  </si>
  <si>
    <t>2002 dollars</t>
  </si>
  <si>
    <t>2003 dollars</t>
  </si>
  <si>
    <t>2004 dollars</t>
  </si>
  <si>
    <t>2005 dollars</t>
  </si>
  <si>
    <t>2006 dollars</t>
  </si>
  <si>
    <t>2007 dollars</t>
  </si>
  <si>
    <t>2008 dollars</t>
  </si>
  <si>
    <t>2009 dollars</t>
  </si>
  <si>
    <t>2010 dollars</t>
  </si>
  <si>
    <t>2011 dollars</t>
  </si>
  <si>
    <t>2012 dollars</t>
  </si>
  <si>
    <t>2013 dollars</t>
  </si>
  <si>
    <t>2014 dollars</t>
  </si>
  <si>
    <t>2015 dollars</t>
  </si>
  <si>
    <t>2016 dollars</t>
  </si>
  <si>
    <t>2017 dollars</t>
  </si>
  <si>
    <t>2018 dollars</t>
  </si>
  <si>
    <t>2019 dollars</t>
  </si>
  <si>
    <t>2020 dollars</t>
  </si>
  <si>
    <t>2021 dollars</t>
  </si>
  <si>
    <t>2022 dollars</t>
  </si>
  <si>
    <t>2023 dollars</t>
  </si>
  <si>
    <t>2024 dollars</t>
  </si>
  <si>
    <t>data year</t>
  </si>
  <si>
    <t>Source:</t>
  </si>
  <si>
    <t>https://usa.ipums.org/usa/cpi99.shtml</t>
  </si>
  <si>
    <t>inflator_2020</t>
  </si>
  <si>
    <t>Census</t>
  </si>
  <si>
    <t>Bottom Code</t>
  </si>
  <si>
    <t>Top Code</t>
  </si>
  <si>
    <t>Net loss</t>
  </si>
  <si>
    <t> $400,000*</t>
  </si>
  <si>
    <t>ACS</t>
  </si>
  <si>
    <t>-</t>
  </si>
  <si>
    <t>PRCS</t>
  </si>
  <si>
    <t>source:</t>
  </si>
  <si>
    <t>https://usa.ipums.org/usa-action/variables/INCTOT#codes_section</t>
  </si>
  <si>
    <t>year</t>
  </si>
  <si>
    <t>I use the census version rather than the ACS version for 2000</t>
  </si>
  <si>
    <t>to harmonize encoding across years, we pull the largest bottom code and the smallest top code and apply it to all other data.</t>
  </si>
  <si>
    <t>unified bottom code ($2020)</t>
  </si>
  <si>
    <t>bottom code ($contemp)</t>
  </si>
  <si>
    <t>top code ($contemp)</t>
  </si>
  <si>
    <t>bottom code ($2020)</t>
  </si>
  <si>
    <t>top code ($2020)</t>
  </si>
  <si>
    <t>unified top code ($2020)</t>
  </si>
  <si>
    <t>We round the bottom code to -$16,000 and the top code to $250,000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</si>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</sst>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Aptos Narrow"/>
      <family val="2"/>
      <scheme val="minor"/>
    </font>
    <font>
      <b/>
      <sz val="11"/>
      <color rgb="FF00263A"/>
      <name val="Cabrito Sans"/>
    </font>
    <font>
      <sz val="11"/>
      <color rgb="FF00263A"/>
      <name val="Cabrito Sans Subset"/>
    </font>
    <font>
      <sz val="9.35"/>
      <color rgb="FF00263A"/>
      <name val="Arial"/>
      <family val="2"/>
    </font>
    <font>
      <b/>
      <sz val="10"/>
      <color rgb="FF00263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BFCFC"/>
        <bgColor indexed="64"/>
      </patternFill>
    </fill>
    <fill>
      <patternFill patternType="solid">
        <fgColor rgb="FFE1E9E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BDD2DE"/>
      </left>
      <right style="medium">
        <color rgb="FFBDD2DE"/>
      </right>
      <top style="medium">
        <color rgb="FFBDD2DE"/>
      </top>
      <bottom style="medium">
        <color rgb="FFBDD2D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6" fontId="3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E8C3-D3AE-49A2-94C9-98A26E41FB39}">
  <dimension ref="B1:G34"/>
  <sheetViews>
    <sheetView workbookViewId="0">
      <selection activeCell="J5" sqref="J5"/>
    </sheetView>
  </sheetViews>
  <sheetFormatPr defaultRowHeight="15"/>
  <sheetData>
    <row r="1" spans="2:7" ht="15.75" thickBot="1">
      <c r="B1" t="s">
        <v>39</v>
      </c>
      <c r="C1" t="s">
        <v>40</v>
      </c>
    </row>
    <row r="2" spans="2:7" ht="30.7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29.25" thickBot="1">
      <c r="B3" s="1">
        <v>1940</v>
      </c>
      <c r="C3" s="2" t="s">
        <v>6</v>
      </c>
      <c r="D3" s="2" t="s">
        <v>2</v>
      </c>
      <c r="E3" s="2">
        <v>11.986000000000001</v>
      </c>
      <c r="F3" s="2" t="s">
        <v>4</v>
      </c>
      <c r="G3" s="2" t="s">
        <v>5</v>
      </c>
    </row>
    <row r="4" spans="2:7" ht="29.25" thickBot="1">
      <c r="B4" s="1">
        <v>1950</v>
      </c>
      <c r="C4" s="2" t="s">
        <v>7</v>
      </c>
      <c r="D4" s="2" t="s">
        <v>2</v>
      </c>
      <c r="E4" s="2">
        <v>7</v>
      </c>
      <c r="F4" s="2" t="s">
        <v>4</v>
      </c>
      <c r="G4" s="2" t="s">
        <v>5</v>
      </c>
    </row>
    <row r="5" spans="2:7" ht="29.25" thickBot="1">
      <c r="B5" s="1">
        <v>1960</v>
      </c>
      <c r="C5" s="2" t="s">
        <v>8</v>
      </c>
      <c r="D5" s="2" t="s">
        <v>2</v>
      </c>
      <c r="E5" s="2">
        <v>5.7249999999999996</v>
      </c>
      <c r="F5" s="2" t="s">
        <v>4</v>
      </c>
      <c r="G5" s="2" t="s">
        <v>5</v>
      </c>
    </row>
    <row r="6" spans="2:7" ht="29.25" thickBot="1">
      <c r="B6" s="1">
        <v>1970</v>
      </c>
      <c r="C6" s="2" t="s">
        <v>9</v>
      </c>
      <c r="D6" s="2" t="s">
        <v>2</v>
      </c>
      <c r="E6" s="2">
        <v>4.54</v>
      </c>
      <c r="F6" s="2" t="s">
        <v>4</v>
      </c>
      <c r="G6" s="2" t="s">
        <v>5</v>
      </c>
    </row>
    <row r="7" spans="2:7" ht="29.25" thickBot="1">
      <c r="B7" s="1">
        <v>1980</v>
      </c>
      <c r="C7" s="2" t="s">
        <v>10</v>
      </c>
      <c r="D7" s="2" t="s">
        <v>2</v>
      </c>
      <c r="E7" s="2">
        <v>2.2949999999999999</v>
      </c>
      <c r="F7" s="2" t="s">
        <v>4</v>
      </c>
      <c r="G7" s="2" t="s">
        <v>5</v>
      </c>
    </row>
    <row r="8" spans="2:7" ht="29.25" thickBot="1">
      <c r="B8" s="1">
        <v>1990</v>
      </c>
      <c r="C8" s="2" t="s">
        <v>11</v>
      </c>
      <c r="D8" s="2" t="s">
        <v>2</v>
      </c>
      <c r="E8" s="2">
        <v>1.3440000000000001</v>
      </c>
      <c r="F8" s="2" t="s">
        <v>4</v>
      </c>
      <c r="G8" s="2" t="s">
        <v>5</v>
      </c>
    </row>
    <row r="9" spans="2:7" ht="29.25" thickBot="1">
      <c r="B9" s="1">
        <v>2000</v>
      </c>
      <c r="C9" s="2" t="s">
        <v>5</v>
      </c>
      <c r="D9" s="2" t="s">
        <v>2</v>
      </c>
      <c r="E9" s="2">
        <v>1</v>
      </c>
      <c r="F9" s="2" t="s">
        <v>4</v>
      </c>
      <c r="G9" s="2" t="s">
        <v>5</v>
      </c>
    </row>
    <row r="10" spans="2:7" ht="30.75" thickBot="1">
      <c r="B10" s="1" t="s">
        <v>12</v>
      </c>
      <c r="C10" s="2" t="s">
        <v>13</v>
      </c>
      <c r="D10" s="2" t="s">
        <v>2</v>
      </c>
      <c r="E10" s="2">
        <v>0.96699999999999997</v>
      </c>
      <c r="F10" s="2" t="s">
        <v>4</v>
      </c>
      <c r="G10" s="2" t="s">
        <v>5</v>
      </c>
    </row>
    <row r="11" spans="2:7" ht="29.25" thickBot="1">
      <c r="B11" s="1">
        <v>2001</v>
      </c>
      <c r="C11" s="2" t="s">
        <v>14</v>
      </c>
      <c r="D11" s="2" t="s">
        <v>2</v>
      </c>
      <c r="E11" s="2">
        <v>0.94099999999999995</v>
      </c>
      <c r="F11" s="2" t="s">
        <v>4</v>
      </c>
      <c r="G11" s="2" t="s">
        <v>5</v>
      </c>
    </row>
    <row r="12" spans="2:7" ht="29.25" thickBot="1">
      <c r="B12" s="1">
        <v>2002</v>
      </c>
      <c r="C12" s="2" t="s">
        <v>15</v>
      </c>
      <c r="D12" s="2" t="s">
        <v>2</v>
      </c>
      <c r="E12" s="2">
        <v>0.92600000000000005</v>
      </c>
      <c r="F12" s="2" t="s">
        <v>4</v>
      </c>
      <c r="G12" s="2" t="s">
        <v>5</v>
      </c>
    </row>
    <row r="13" spans="2:7" ht="29.25" thickBot="1">
      <c r="B13" s="1">
        <v>2003</v>
      </c>
      <c r="C13" s="2" t="s">
        <v>16</v>
      </c>
      <c r="D13" s="2" t="s">
        <v>2</v>
      </c>
      <c r="E13" s="2">
        <v>0.90500000000000003</v>
      </c>
      <c r="F13" s="2" t="s">
        <v>4</v>
      </c>
      <c r="G13" s="2" t="s">
        <v>5</v>
      </c>
    </row>
    <row r="14" spans="2:7" ht="29.25" thickBot="1">
      <c r="B14" s="1">
        <v>2004</v>
      </c>
      <c r="C14" s="2" t="s">
        <v>17</v>
      </c>
      <c r="D14" s="2" t="s">
        <v>2</v>
      </c>
      <c r="E14" s="2">
        <v>0.88200000000000001</v>
      </c>
      <c r="F14" s="2" t="s">
        <v>4</v>
      </c>
      <c r="G14" s="2" t="s">
        <v>5</v>
      </c>
    </row>
    <row r="15" spans="2:7" ht="29.25" thickBot="1">
      <c r="B15" s="1">
        <v>2005</v>
      </c>
      <c r="C15" s="2" t="s">
        <v>18</v>
      </c>
      <c r="D15" s="2" t="s">
        <v>2</v>
      </c>
      <c r="E15" s="2">
        <v>0.85299999999999998</v>
      </c>
      <c r="F15" s="2" t="s">
        <v>4</v>
      </c>
      <c r="G15" s="2" t="s">
        <v>5</v>
      </c>
    </row>
    <row r="16" spans="2:7" ht="29.25" thickBot="1">
      <c r="B16" s="1">
        <v>2006</v>
      </c>
      <c r="C16" s="2" t="s">
        <v>19</v>
      </c>
      <c r="D16" s="2" t="s">
        <v>2</v>
      </c>
      <c r="E16" s="2">
        <v>0.82599999999999996</v>
      </c>
      <c r="F16" s="2" t="s">
        <v>4</v>
      </c>
      <c r="G16" s="2" t="s">
        <v>5</v>
      </c>
    </row>
    <row r="17" spans="2:7" ht="29.25" thickBot="1">
      <c r="B17" s="1">
        <v>2007</v>
      </c>
      <c r="C17" s="2" t="s">
        <v>20</v>
      </c>
      <c r="D17" s="2" t="s">
        <v>2</v>
      </c>
      <c r="E17" s="2">
        <v>0.80400000000000005</v>
      </c>
      <c r="F17" s="2" t="s">
        <v>4</v>
      </c>
      <c r="G17" s="2" t="s">
        <v>5</v>
      </c>
    </row>
    <row r="18" spans="2:7" ht="29.25" thickBot="1">
      <c r="B18" s="1">
        <v>2008</v>
      </c>
      <c r="C18" s="2" t="s">
        <v>21</v>
      </c>
      <c r="D18" s="2" t="s">
        <v>2</v>
      </c>
      <c r="E18" s="2">
        <v>0.77400000000000002</v>
      </c>
      <c r="F18" s="2" t="s">
        <v>4</v>
      </c>
      <c r="G18" s="2" t="s">
        <v>5</v>
      </c>
    </row>
    <row r="19" spans="2:7" ht="29.25" thickBot="1">
      <c r="B19" s="1">
        <v>2009</v>
      </c>
      <c r="C19" s="2" t="s">
        <v>22</v>
      </c>
      <c r="D19" s="2" t="s">
        <v>2</v>
      </c>
      <c r="E19" s="2">
        <v>0.77700000000000002</v>
      </c>
      <c r="F19" s="2" t="s">
        <v>4</v>
      </c>
      <c r="G19" s="2" t="s">
        <v>5</v>
      </c>
    </row>
    <row r="20" spans="2:7" ht="29.25" thickBot="1">
      <c r="B20" s="1">
        <v>2010</v>
      </c>
      <c r="C20" s="2" t="s">
        <v>23</v>
      </c>
      <c r="D20" s="2" t="s">
        <v>2</v>
      </c>
      <c r="E20" s="2">
        <v>0.76400000000000001</v>
      </c>
      <c r="F20" s="2" t="s">
        <v>4</v>
      </c>
      <c r="G20" s="2" t="s">
        <v>5</v>
      </c>
    </row>
    <row r="21" spans="2:7" ht="29.25" thickBot="1">
      <c r="B21" s="1">
        <v>2011</v>
      </c>
      <c r="C21" s="2" t="s">
        <v>24</v>
      </c>
      <c r="D21" s="2" t="s">
        <v>2</v>
      </c>
      <c r="E21" s="2">
        <v>0.74099999999999999</v>
      </c>
      <c r="F21" s="2" t="s">
        <v>4</v>
      </c>
      <c r="G21" s="2" t="s">
        <v>5</v>
      </c>
    </row>
    <row r="22" spans="2:7" ht="29.25" thickBot="1">
      <c r="B22" s="1">
        <v>2012</v>
      </c>
      <c r="C22" s="2" t="s">
        <v>25</v>
      </c>
      <c r="D22" s="2" t="s">
        <v>2</v>
      </c>
      <c r="E22" s="2">
        <v>0.72599999999999998</v>
      </c>
      <c r="F22" s="2" t="s">
        <v>4</v>
      </c>
      <c r="G22" s="2" t="s">
        <v>5</v>
      </c>
    </row>
    <row r="23" spans="2:7" ht="29.25" thickBot="1">
      <c r="B23" s="1">
        <v>2013</v>
      </c>
      <c r="C23" s="2" t="s">
        <v>26</v>
      </c>
      <c r="D23" s="2" t="s">
        <v>2</v>
      </c>
      <c r="E23" s="2">
        <v>0.71499999999999997</v>
      </c>
      <c r="F23" s="2" t="s">
        <v>4</v>
      </c>
      <c r="G23" s="2" t="s">
        <v>5</v>
      </c>
    </row>
    <row r="24" spans="2:7" ht="29.25" thickBot="1">
      <c r="B24" s="1">
        <v>2014</v>
      </c>
      <c r="C24" s="2" t="s">
        <v>27</v>
      </c>
      <c r="D24" s="2" t="s">
        <v>2</v>
      </c>
      <c r="E24" s="2">
        <v>0.70399999999999996</v>
      </c>
      <c r="F24" s="2" t="s">
        <v>4</v>
      </c>
      <c r="G24" s="2" t="s">
        <v>5</v>
      </c>
    </row>
    <row r="25" spans="2:7" ht="29.25" thickBot="1">
      <c r="B25" s="1">
        <v>2015</v>
      </c>
      <c r="C25" s="2" t="s">
        <v>28</v>
      </c>
      <c r="D25" s="2" t="s">
        <v>2</v>
      </c>
      <c r="E25" s="2">
        <v>0.70299999999999996</v>
      </c>
      <c r="F25" s="2" t="s">
        <v>4</v>
      </c>
      <c r="G25" s="2" t="s">
        <v>5</v>
      </c>
    </row>
    <row r="26" spans="2:7" ht="29.25" thickBot="1">
      <c r="B26" s="1">
        <v>2016</v>
      </c>
      <c r="C26" s="2" t="s">
        <v>29</v>
      </c>
      <c r="D26" s="2" t="s">
        <v>2</v>
      </c>
      <c r="E26" s="2">
        <v>0.69399999999999995</v>
      </c>
      <c r="F26" s="2" t="s">
        <v>4</v>
      </c>
      <c r="G26" s="2" t="s">
        <v>5</v>
      </c>
    </row>
    <row r="27" spans="2:7" ht="29.25" thickBot="1">
      <c r="B27" s="1">
        <v>2017</v>
      </c>
      <c r="C27" s="2" t="s">
        <v>30</v>
      </c>
      <c r="D27" s="2" t="s">
        <v>2</v>
      </c>
      <c r="E27" s="2">
        <v>0.67900000000000005</v>
      </c>
      <c r="F27" s="2" t="s">
        <v>4</v>
      </c>
      <c r="G27" s="2" t="s">
        <v>5</v>
      </c>
    </row>
    <row r="28" spans="2:7" ht="29.25" thickBot="1">
      <c r="B28" s="1">
        <v>2018</v>
      </c>
      <c r="C28" s="2" t="s">
        <v>31</v>
      </c>
      <c r="D28" s="2" t="s">
        <v>2</v>
      </c>
      <c r="E28" s="2">
        <v>0.66300000000000003</v>
      </c>
      <c r="F28" s="2" t="s">
        <v>4</v>
      </c>
      <c r="G28" s="2" t="s">
        <v>5</v>
      </c>
    </row>
    <row r="29" spans="2:7" ht="29.25" thickBot="1">
      <c r="B29" s="1">
        <v>2019</v>
      </c>
      <c r="C29" s="2" t="s">
        <v>32</v>
      </c>
      <c r="D29" s="2" t="s">
        <v>2</v>
      </c>
      <c r="E29" s="2">
        <v>0.65200000000000002</v>
      </c>
      <c r="F29" s="2" t="s">
        <v>4</v>
      </c>
      <c r="G29" s="2" t="s">
        <v>5</v>
      </c>
    </row>
    <row r="30" spans="2:7" ht="29.25" thickBot="1">
      <c r="B30" s="1">
        <v>2020</v>
      </c>
      <c r="C30" s="2" t="s">
        <v>33</v>
      </c>
      <c r="D30" s="2" t="s">
        <v>2</v>
      </c>
      <c r="E30" s="2">
        <v>0.64400000000000002</v>
      </c>
      <c r="F30" s="2" t="s">
        <v>4</v>
      </c>
      <c r="G30" s="2" t="s">
        <v>5</v>
      </c>
    </row>
    <row r="31" spans="2:7" ht="29.25" thickBot="1">
      <c r="B31" s="1">
        <v>2021</v>
      </c>
      <c r="C31" s="2" t="s">
        <v>34</v>
      </c>
      <c r="D31" s="2" t="s">
        <v>2</v>
      </c>
      <c r="E31" s="2">
        <v>0.61499999999999999</v>
      </c>
      <c r="F31" s="2" t="s">
        <v>4</v>
      </c>
      <c r="G31" s="2" t="s">
        <v>5</v>
      </c>
    </row>
    <row r="32" spans="2:7" ht="29.25" thickBot="1">
      <c r="B32" s="1">
        <v>2022</v>
      </c>
      <c r="C32" s="2" t="s">
        <v>35</v>
      </c>
      <c r="D32" s="2" t="s">
        <v>2</v>
      </c>
      <c r="E32" s="2">
        <v>0.56899999999999995</v>
      </c>
      <c r="F32" s="2" t="s">
        <v>4</v>
      </c>
      <c r="G32" s="2" t="s">
        <v>5</v>
      </c>
    </row>
    <row r="33" spans="2:7" ht="29.25" thickBot="1">
      <c r="B33" s="1">
        <v>2023</v>
      </c>
      <c r="C33" s="2" t="s">
        <v>36</v>
      </c>
      <c r="D33" s="2" t="s">
        <v>2</v>
      </c>
      <c r="E33" s="2">
        <v>0.54700000000000004</v>
      </c>
      <c r="F33" s="2" t="s">
        <v>4</v>
      </c>
      <c r="G33" s="2" t="s">
        <v>5</v>
      </c>
    </row>
    <row r="34" spans="2:7" ht="29.25" thickBot="1">
      <c r="B34" s="1">
        <v>2024</v>
      </c>
      <c r="C34" s="2" t="s">
        <v>37</v>
      </c>
      <c r="D34" s="2" t="s">
        <v>2</v>
      </c>
      <c r="E34" s="2">
        <v>0.53100000000000003</v>
      </c>
      <c r="F34" s="2" t="s">
        <v>4</v>
      </c>
      <c r="G34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EB72-8931-4B22-9FD3-B9B5F0CBA475}">
  <dimension ref="B2:E30"/>
  <sheetViews>
    <sheetView workbookViewId="0">
      <selection activeCell="E7" sqref="E7"/>
    </sheetView>
  </sheetViews>
  <sheetFormatPr defaultRowHeight="15"/>
  <cols>
    <col min="3" max="3" width="13" customWidth="1"/>
    <col min="4" max="4" width="12" bestFit="1" customWidth="1"/>
  </cols>
  <sheetData>
    <row r="2" spans="2:5">
      <c r="B2" t="s">
        <v>38</v>
      </c>
      <c r="C2" t="s">
        <v>5</v>
      </c>
      <c r="D2" t="s">
        <v>33</v>
      </c>
    </row>
    <row r="3" spans="2:5">
      <c r="B3">
        <v>1970</v>
      </c>
      <c r="C3">
        <f>'inflation-input'!E6</f>
        <v>4.54</v>
      </c>
      <c r="D3">
        <f>(1/'inflation-input'!$E$30)*'inflation-calc'!C3</f>
        <v>7.0496894409937889</v>
      </c>
    </row>
    <row r="4" spans="2:5">
      <c r="B4">
        <v>1980</v>
      </c>
      <c r="C4">
        <f>'inflation-input'!E7</f>
        <v>2.2949999999999999</v>
      </c>
      <c r="D4">
        <f>(1/'inflation-input'!$E$30)*'inflation-calc'!C4</f>
        <v>3.5636645962732918</v>
      </c>
    </row>
    <row r="5" spans="2:5">
      <c r="B5">
        <v>1990</v>
      </c>
      <c r="C5">
        <f>'inflation-input'!E8</f>
        <v>1.3440000000000001</v>
      </c>
      <c r="D5">
        <f>(1/'inflation-input'!$E$30)*'inflation-calc'!C5</f>
        <v>2.0869565217391308</v>
      </c>
    </row>
    <row r="6" spans="2:5">
      <c r="B6">
        <v>2000</v>
      </c>
      <c r="C6">
        <f>'inflation-input'!E9</f>
        <v>1</v>
      </c>
      <c r="D6">
        <f>(1/'inflation-input'!$E$30)*'inflation-calc'!C6</f>
        <v>1.5527950310559007</v>
      </c>
      <c r="E6" t="s">
        <v>53</v>
      </c>
    </row>
    <row r="7" spans="2:5">
      <c r="B7">
        <v>2001</v>
      </c>
      <c r="C7">
        <f>'inflation-input'!E11</f>
        <v>0.94099999999999995</v>
      </c>
      <c r="D7">
        <f>(1/'inflation-input'!$E$30)*'inflation-calc'!C7</f>
        <v>1.4611801242236024</v>
      </c>
    </row>
    <row r="8" spans="2:5">
      <c r="B8">
        <v>2002</v>
      </c>
      <c r="C8">
        <f>'inflation-input'!E12</f>
        <v>0.92600000000000005</v>
      </c>
      <c r="D8">
        <f>(1/'inflation-input'!$E$30)*'inflation-calc'!C8</f>
        <v>1.4378881987577641</v>
      </c>
    </row>
    <row r="9" spans="2:5">
      <c r="B9">
        <v>2003</v>
      </c>
      <c r="C9">
        <f>'inflation-input'!E13</f>
        <v>0.90500000000000003</v>
      </c>
      <c r="D9">
        <f>(1/'inflation-input'!$E$30)*'inflation-calc'!C9</f>
        <v>1.4052795031055902</v>
      </c>
    </row>
    <row r="10" spans="2:5">
      <c r="B10">
        <v>2004</v>
      </c>
      <c r="C10">
        <f>'inflation-input'!E14</f>
        <v>0.88200000000000001</v>
      </c>
      <c r="D10">
        <f>(1/'inflation-input'!$E$30)*'inflation-calc'!C10</f>
        <v>1.3695652173913044</v>
      </c>
    </row>
    <row r="11" spans="2:5">
      <c r="B11">
        <v>2005</v>
      </c>
      <c r="C11">
        <f>'inflation-input'!E15</f>
        <v>0.85299999999999998</v>
      </c>
      <c r="D11">
        <f>(1/'inflation-input'!$E$30)*'inflation-calc'!C11</f>
        <v>1.3245341614906831</v>
      </c>
    </row>
    <row r="12" spans="2:5">
      <c r="B12">
        <v>2006</v>
      </c>
      <c r="C12">
        <f>'inflation-input'!E16</f>
        <v>0.82599999999999996</v>
      </c>
      <c r="D12">
        <f>(1/'inflation-input'!$E$30)*'inflation-calc'!C12</f>
        <v>1.2826086956521738</v>
      </c>
    </row>
    <row r="13" spans="2:5">
      <c r="B13">
        <v>2007</v>
      </c>
      <c r="C13">
        <f>'inflation-input'!E17</f>
        <v>0.80400000000000005</v>
      </c>
      <c r="D13">
        <f>(1/'inflation-input'!$E$30)*'inflation-calc'!C13</f>
        <v>1.2484472049689441</v>
      </c>
    </row>
    <row r="14" spans="2:5">
      <c r="B14">
        <v>2008</v>
      </c>
      <c r="C14">
        <f>'inflation-input'!E18</f>
        <v>0.77400000000000002</v>
      </c>
      <c r="D14">
        <f>(1/'inflation-input'!$E$30)*'inflation-calc'!C14</f>
        <v>1.2018633540372672</v>
      </c>
    </row>
    <row r="15" spans="2:5">
      <c r="B15">
        <v>2009</v>
      </c>
      <c r="C15">
        <f>'inflation-input'!E19</f>
        <v>0.77700000000000002</v>
      </c>
      <c r="D15">
        <f>(1/'inflation-input'!$E$30)*'inflation-calc'!C15</f>
        <v>1.2065217391304348</v>
      </c>
    </row>
    <row r="16" spans="2:5">
      <c r="B16">
        <v>2010</v>
      </c>
      <c r="C16">
        <f>'inflation-input'!E20</f>
        <v>0.76400000000000001</v>
      </c>
      <c r="D16">
        <f>(1/'inflation-input'!$E$30)*'inflation-calc'!C16</f>
        <v>1.1863354037267082</v>
      </c>
    </row>
    <row r="17" spans="2:4">
      <c r="B17">
        <v>2011</v>
      </c>
      <c r="C17">
        <f>'inflation-input'!E21</f>
        <v>0.74099999999999999</v>
      </c>
      <c r="D17">
        <f>(1/'inflation-input'!$E$30)*'inflation-calc'!C17</f>
        <v>1.1506211180124224</v>
      </c>
    </row>
    <row r="18" spans="2:4">
      <c r="B18">
        <v>2012</v>
      </c>
      <c r="C18">
        <f>'inflation-input'!E22</f>
        <v>0.72599999999999998</v>
      </c>
      <c r="D18">
        <f>(1/'inflation-input'!$E$30)*'inflation-calc'!C18</f>
        <v>1.1273291925465838</v>
      </c>
    </row>
    <row r="19" spans="2:4">
      <c r="B19">
        <v>2013</v>
      </c>
      <c r="C19">
        <f>'inflation-input'!E23</f>
        <v>0.71499999999999997</v>
      </c>
      <c r="D19">
        <f>(1/'inflation-input'!$E$30)*'inflation-calc'!C19</f>
        <v>1.110248447204969</v>
      </c>
    </row>
    <row r="20" spans="2:4">
      <c r="B20">
        <v>2014</v>
      </c>
      <c r="C20">
        <f>'inflation-input'!E24</f>
        <v>0.70399999999999996</v>
      </c>
      <c r="D20">
        <f>(1/'inflation-input'!$E$30)*'inflation-calc'!C20</f>
        <v>1.0931677018633541</v>
      </c>
    </row>
    <row r="21" spans="2:4">
      <c r="B21">
        <v>2015</v>
      </c>
      <c r="C21">
        <f>'inflation-input'!E25</f>
        <v>0.70299999999999996</v>
      </c>
      <c r="D21">
        <f>(1/'inflation-input'!$E$30)*'inflation-calc'!C21</f>
        <v>1.091614906832298</v>
      </c>
    </row>
    <row r="22" spans="2:4">
      <c r="B22">
        <v>2016</v>
      </c>
      <c r="C22">
        <f>'inflation-input'!E26</f>
        <v>0.69399999999999995</v>
      </c>
      <c r="D22">
        <f>(1/'inflation-input'!$E$30)*'inflation-calc'!C22</f>
        <v>1.0776397515527949</v>
      </c>
    </row>
    <row r="23" spans="2:4">
      <c r="B23">
        <v>2017</v>
      </c>
      <c r="C23">
        <f>'inflation-input'!E27</f>
        <v>0.67900000000000005</v>
      </c>
      <c r="D23">
        <f>(1/'inflation-input'!$E$30)*'inflation-calc'!C23</f>
        <v>1.0543478260869565</v>
      </c>
    </row>
    <row r="24" spans="2:4">
      <c r="B24">
        <v>2018</v>
      </c>
      <c r="C24">
        <f>'inflation-input'!E28</f>
        <v>0.66300000000000003</v>
      </c>
      <c r="D24">
        <f>(1/'inflation-input'!$E$30)*'inflation-calc'!C24</f>
        <v>1.0295031055900621</v>
      </c>
    </row>
    <row r="25" spans="2:4">
      <c r="B25">
        <v>2019</v>
      </c>
      <c r="C25">
        <f>'inflation-input'!E29</f>
        <v>0.65200000000000002</v>
      </c>
      <c r="D25">
        <f>(1/'inflation-input'!$E$30)*'inflation-calc'!C25</f>
        <v>1.0124223602484472</v>
      </c>
    </row>
    <row r="26" spans="2:4">
      <c r="B26">
        <v>2020</v>
      </c>
      <c r="C26">
        <f>'inflation-input'!E30</f>
        <v>0.64400000000000002</v>
      </c>
      <c r="D26">
        <f>(1/'inflation-input'!$E$30)*'inflation-calc'!C26</f>
        <v>1</v>
      </c>
    </row>
    <row r="27" spans="2:4">
      <c r="B27">
        <v>2021</v>
      </c>
      <c r="C27">
        <f>'inflation-input'!E31</f>
        <v>0.61499999999999999</v>
      </c>
      <c r="D27">
        <f>(1/'inflation-input'!$E$30)*'inflation-calc'!C27</f>
        <v>0.95496894409937894</v>
      </c>
    </row>
    <row r="28" spans="2:4">
      <c r="B28">
        <v>2022</v>
      </c>
      <c r="C28">
        <f>'inflation-input'!E32</f>
        <v>0.56899999999999995</v>
      </c>
      <c r="D28">
        <f>(1/'inflation-input'!$E$30)*'inflation-calc'!C28</f>
        <v>0.88354037267080743</v>
      </c>
    </row>
    <row r="29" spans="2:4">
      <c r="B29">
        <v>2023</v>
      </c>
      <c r="C29">
        <f>'inflation-input'!E33</f>
        <v>0.54700000000000004</v>
      </c>
      <c r="D29">
        <f>(1/'inflation-input'!$E$30)*'inflation-calc'!C29</f>
        <v>0.84937888198757772</v>
      </c>
    </row>
    <row r="30" spans="2:4">
      <c r="B30">
        <v>2024</v>
      </c>
      <c r="C30">
        <f>'inflation-input'!E34</f>
        <v>0.53100000000000003</v>
      </c>
      <c r="D30">
        <f>(1/'inflation-input'!$E$30)*'inflation-calc'!C30</f>
        <v>0.82453416149068326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83E91-0B63-45FD-9908-2B23A3F32FFB}">
  <dimension ref="A1:B29"/>
  <sheetViews>
    <sheetView workbookViewId="0">
      <selection activeCell="E8" sqref="E8"/>
    </sheetView>
  </sheetViews>
  <sheetFormatPr defaultRowHeight="15"/>
  <sheetData>
    <row r="1" spans="1:2">
      <c r="A1" t="s">
        <v>62</v>
      </c>
      <c r="B1" t="s">
        <v>41</v>
      </c>
    </row>
    <row r="2" spans="1:2">
      <c r="A2">
        <v>1970</v>
      </c>
      <c r="B2">
        <v>7.0496894409937889</v>
      </c>
    </row>
    <row r="3" spans="1:2">
      <c r="A3">
        <v>1980</v>
      </c>
      <c r="B3">
        <v>3.5636645962732918</v>
      </c>
    </row>
    <row r="4" spans="1:2">
      <c r="A4">
        <v>1990</v>
      </c>
      <c r="B4">
        <v>2.0869565217391308</v>
      </c>
    </row>
    <row r="5" spans="1:2">
      <c r="A5">
        <v>2000</v>
      </c>
      <c r="B5">
        <v>1.5527950310559007</v>
      </c>
    </row>
    <row r="6" spans="1:2">
      <c r="A6">
        <v>2001</v>
      </c>
      <c r="B6">
        <v>1.4611801242236024</v>
      </c>
    </row>
    <row r="7" spans="1:2">
      <c r="A7">
        <v>2002</v>
      </c>
      <c r="B7">
        <v>1.4378881987577641</v>
      </c>
    </row>
    <row r="8" spans="1:2">
      <c r="A8">
        <v>2003</v>
      </c>
      <c r="B8">
        <v>1.4052795031055902</v>
      </c>
    </row>
    <row r="9" spans="1:2">
      <c r="A9">
        <v>2004</v>
      </c>
      <c r="B9">
        <v>1.3695652173913044</v>
      </c>
    </row>
    <row r="10" spans="1:2">
      <c r="A10">
        <v>2005</v>
      </c>
      <c r="B10">
        <v>1.3245341614906831</v>
      </c>
    </row>
    <row r="11" spans="1:2">
      <c r="A11">
        <v>2006</v>
      </c>
      <c r="B11">
        <v>1.2826086956521738</v>
      </c>
    </row>
    <row r="12" spans="1:2">
      <c r="A12">
        <v>2007</v>
      </c>
      <c r="B12">
        <v>1.2484472049689441</v>
      </c>
    </row>
    <row r="13" spans="1:2">
      <c r="A13">
        <v>2008</v>
      </c>
      <c r="B13">
        <v>1.2018633540372672</v>
      </c>
    </row>
    <row r="14" spans="1:2">
      <c r="A14">
        <v>2009</v>
      </c>
      <c r="B14">
        <v>1.2065217391304348</v>
      </c>
    </row>
    <row r="15" spans="1:2">
      <c r="A15">
        <v>2010</v>
      </c>
      <c r="B15">
        <v>1.1863354037267082</v>
      </c>
    </row>
    <row r="16" spans="1:2">
      <c r="A16">
        <v>2011</v>
      </c>
      <c r="B16">
        <v>1.1506211180124224</v>
      </c>
    </row>
    <row r="17" spans="1:2">
      <c r="A17">
        <v>2012</v>
      </c>
      <c r="B17">
        <v>1.1273291925465838</v>
      </c>
    </row>
    <row r="18" spans="1:2">
      <c r="A18">
        <v>2013</v>
      </c>
      <c r="B18">
        <v>1.110248447204969</v>
      </c>
    </row>
    <row r="19" spans="1:2">
      <c r="A19">
        <v>2014</v>
      </c>
      <c r="B19">
        <v>1.0931677018633541</v>
      </c>
    </row>
    <row r="20" spans="1:2">
      <c r="A20">
        <v>2015</v>
      </c>
      <c r="B20">
        <v>1.091614906832298</v>
      </c>
    </row>
    <row r="21" spans="1:2">
      <c r="A21">
        <v>2016</v>
      </c>
      <c r="B21">
        <v>1.0776397515527949</v>
      </c>
    </row>
    <row r="22" spans="1:2">
      <c r="A22">
        <v>2017</v>
      </c>
      <c r="B22">
        <v>1.0543478260869565</v>
      </c>
    </row>
    <row r="23" spans="1:2">
      <c r="A23">
        <v>2018</v>
      </c>
      <c r="B23">
        <v>1.0295031055900621</v>
      </c>
    </row>
    <row r="24" spans="1:2">
      <c r="A24">
        <v>2019</v>
      </c>
      <c r="B24">
        <v>1.0124223602484472</v>
      </c>
    </row>
    <row r="25" spans="1:2">
      <c r="A25">
        <v>2020</v>
      </c>
      <c r="B25">
        <v>1</v>
      </c>
    </row>
    <row r="26" spans="1:2">
      <c r="A26">
        <v>2021</v>
      </c>
      <c r="B26">
        <v>0.95496894409937894</v>
      </c>
    </row>
    <row r="27" spans="1:2">
      <c r="A27">
        <v>2022</v>
      </c>
      <c r="B27">
        <v>0.88354037267080743</v>
      </c>
    </row>
    <row r="28" spans="1:2">
      <c r="A28">
        <v>2023</v>
      </c>
      <c r="B28">
        <v>0.84937888198757772</v>
      </c>
    </row>
    <row r="29" spans="1:2">
      <c r="A29">
        <v>2024</v>
      </c>
      <c r="B29">
        <v>0.82453416149068326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7D31-2EE2-41FA-8D4B-8DE05C7AC45D}">
  <dimension ref="A1:C10"/>
  <sheetViews>
    <sheetView workbookViewId="0">
      <selection activeCell="B9" sqref="B9"/>
    </sheetView>
  </sheetViews>
  <sheetFormatPr defaultRowHeight="15"/>
  <cols>
    <col min="2" max="2" width="13.28515625" customWidth="1"/>
    <col min="3" max="3" width="16.140625" customWidth="1"/>
  </cols>
  <sheetData>
    <row r="1" spans="1:3">
      <c r="A1" t="s">
        <v>50</v>
      </c>
      <c r="B1" t="s">
        <v>51</v>
      </c>
    </row>
    <row r="2" spans="1:3">
      <c r="A2" s="3" t="s">
        <v>42</v>
      </c>
      <c r="B2" s="3" t="s">
        <v>43</v>
      </c>
      <c r="C2" s="3" t="s">
        <v>44</v>
      </c>
    </row>
    <row r="3" spans="1:3">
      <c r="A3" s="3">
        <v>1950</v>
      </c>
      <c r="B3" s="4" t="s">
        <v>45</v>
      </c>
      <c r="C3" s="5">
        <v>10000</v>
      </c>
    </row>
    <row r="4" spans="1:3">
      <c r="A4" s="3">
        <v>1960</v>
      </c>
      <c r="B4" s="5">
        <v>-9900</v>
      </c>
      <c r="C4" s="5">
        <v>25000</v>
      </c>
    </row>
    <row r="5" spans="1:3">
      <c r="A5" s="3">
        <v>1970</v>
      </c>
      <c r="B5" s="5">
        <v>-9900</v>
      </c>
      <c r="C5" s="5">
        <v>50000</v>
      </c>
    </row>
    <row r="6" spans="1:3">
      <c r="A6" s="3">
        <v>1980</v>
      </c>
      <c r="B6" s="5">
        <v>-9990</v>
      </c>
      <c r="C6" s="5">
        <v>75000</v>
      </c>
    </row>
    <row r="7" spans="1:3">
      <c r="A7" s="3">
        <v>1990</v>
      </c>
      <c r="B7" s="5">
        <v>-19998</v>
      </c>
      <c r="C7" s="4" t="s">
        <v>46</v>
      </c>
    </row>
    <row r="8" spans="1:3">
      <c r="A8" s="3">
        <v>2000</v>
      </c>
      <c r="B8" s="5">
        <v>-20000</v>
      </c>
      <c r="C8" s="5">
        <v>999998</v>
      </c>
    </row>
    <row r="9" spans="1:3">
      <c r="A9" s="3" t="s">
        <v>47</v>
      </c>
      <c r="B9" s="5">
        <v>-19998</v>
      </c>
      <c r="C9" s="4" t="s">
        <v>48</v>
      </c>
    </row>
    <row r="10" spans="1:3">
      <c r="A10" s="3" t="s">
        <v>49</v>
      </c>
      <c r="B10" s="5">
        <v>-19998</v>
      </c>
      <c r="C10" s="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06EE-FAF9-45CE-AC8D-F9C85E61A894}">
  <dimension ref="A1:H32"/>
  <sheetViews>
    <sheetView tabSelected="1" workbookViewId="0">
      <selection activeCell="F2" sqref="F2"/>
    </sheetView>
  </sheetViews>
  <sheetFormatPr defaultRowHeight="15"/>
  <cols>
    <col min="2" max="2" width="26.28515625" customWidth="1"/>
    <col min="3" max="4" width="21" customWidth="1"/>
    <col min="5" max="5" width="20.5703125" customWidth="1"/>
    <col min="6" max="6" width="16.140625" customWidth="1"/>
    <col min="7" max="7" width="25.5703125" customWidth="1"/>
    <col min="8" max="8" width="23.85546875" customWidth="1"/>
  </cols>
  <sheetData>
    <row r="1" spans="1:8">
      <c r="B1" t="s">
        <v>54</v>
      </c>
    </row>
    <row r="2" spans="1:8">
      <c r="B2" t="s">
        <v>61</v>
      </c>
    </row>
    <row r="4" spans="1:8">
      <c r="A4" t="s">
        <v>52</v>
      </c>
      <c r="B4" t="s">
        <v>56</v>
      </c>
      <c r="C4" t="s">
        <v>57</v>
      </c>
      <c r="D4" t="s">
        <v>41</v>
      </c>
      <c r="E4" t="s">
        <v>58</v>
      </c>
      <c r="F4" t="s">
        <v>59</v>
      </c>
      <c r="G4" t="s">
        <v>55</v>
      </c>
      <c r="H4" t="s">
        <v>60</v>
      </c>
    </row>
    <row r="5" spans="1:8">
      <c r="A5">
        <v>1970</v>
      </c>
      <c r="B5">
        <v>-9900</v>
      </c>
      <c r="C5">
        <v>50000</v>
      </c>
      <c r="D5">
        <f>'inflation-output'!B2</f>
        <v>7.0496894409937889</v>
      </c>
      <c r="E5">
        <f>B5*$D5</f>
        <v>-69791.925465838503</v>
      </c>
      <c r="F5">
        <f>C5*$D5</f>
        <v>352484.47204968944</v>
      </c>
      <c r="G5">
        <f t="shared" ref="G5:G32" si="0">MAX(E$5:E$32)</f>
        <v>-16489.034161490683</v>
      </c>
      <c r="H5">
        <f>MIN(F$5:F$32)</f>
        <v>267274.84472049691</v>
      </c>
    </row>
    <row r="6" spans="1:8">
      <c r="A6">
        <v>1980</v>
      </c>
      <c r="B6">
        <v>-9990</v>
      </c>
      <c r="C6">
        <v>75000</v>
      </c>
      <c r="D6">
        <f>'inflation-output'!B3</f>
        <v>3.5636645962732918</v>
      </c>
      <c r="E6">
        <f t="shared" ref="E6:E32" si="1">B6*$D6</f>
        <v>-35601.009316770185</v>
      </c>
      <c r="F6">
        <f t="shared" ref="F6:F8" si="2">C6*$D6</f>
        <v>267274.84472049691</v>
      </c>
      <c r="G6">
        <f t="shared" si="0"/>
        <v>-16489.034161490683</v>
      </c>
      <c r="H6">
        <f t="shared" ref="H6:H32" si="3">MIN(F$5:F$32)</f>
        <v>267274.84472049691</v>
      </c>
    </row>
    <row r="7" spans="1:8">
      <c r="A7">
        <v>1990</v>
      </c>
      <c r="B7">
        <v>-19998</v>
      </c>
      <c r="C7">
        <v>400000</v>
      </c>
      <c r="D7">
        <f>'inflation-output'!B4</f>
        <v>2.0869565217391308</v>
      </c>
      <c r="E7">
        <f t="shared" si="1"/>
        <v>-41734.956521739135</v>
      </c>
      <c r="F7">
        <f t="shared" si="2"/>
        <v>834782.60869565234</v>
      </c>
      <c r="G7">
        <f t="shared" si="0"/>
        <v>-16489.034161490683</v>
      </c>
      <c r="H7">
        <f t="shared" si="3"/>
        <v>267274.84472049691</v>
      </c>
    </row>
    <row r="8" spans="1:8">
      <c r="A8">
        <v>2000</v>
      </c>
      <c r="B8">
        <v>-20000</v>
      </c>
      <c r="C8">
        <v>999998</v>
      </c>
      <c r="D8">
        <f>'inflation-output'!B5</f>
        <v>1.5527950310559007</v>
      </c>
      <c r="E8">
        <f t="shared" si="1"/>
        <v>-31055.900621118013</v>
      </c>
      <c r="F8">
        <f t="shared" si="2"/>
        <v>1552791.9254658385</v>
      </c>
      <c r="G8">
        <f t="shared" si="0"/>
        <v>-16489.034161490683</v>
      </c>
      <c r="H8">
        <f t="shared" si="3"/>
        <v>267274.84472049691</v>
      </c>
    </row>
    <row r="9" spans="1:8">
      <c r="A9">
        <v>2001</v>
      </c>
      <c r="B9">
        <v>-19998</v>
      </c>
      <c r="D9">
        <f>'inflation-output'!B6</f>
        <v>1.4611801242236024</v>
      </c>
      <c r="E9">
        <f t="shared" si="1"/>
        <v>-29220.680124223603</v>
      </c>
      <c r="G9">
        <f t="shared" si="0"/>
        <v>-16489.034161490683</v>
      </c>
      <c r="H9">
        <f t="shared" si="3"/>
        <v>267274.84472049691</v>
      </c>
    </row>
    <row r="10" spans="1:8">
      <c r="A10">
        <v>2002</v>
      </c>
      <c r="B10">
        <v>-19998</v>
      </c>
      <c r="D10">
        <f>'inflation-output'!B7</f>
        <v>1.4378881987577641</v>
      </c>
      <c r="E10">
        <f t="shared" si="1"/>
        <v>-28754.888198757766</v>
      </c>
      <c r="G10">
        <f t="shared" si="0"/>
        <v>-16489.034161490683</v>
      </c>
      <c r="H10">
        <f t="shared" si="3"/>
        <v>267274.84472049691</v>
      </c>
    </row>
    <row r="11" spans="1:8">
      <c r="A11">
        <v>2003</v>
      </c>
      <c r="B11">
        <v>-19998</v>
      </c>
      <c r="D11">
        <f>'inflation-output'!B8</f>
        <v>1.4052795031055902</v>
      </c>
      <c r="E11">
        <f t="shared" si="1"/>
        <v>-28102.779503105594</v>
      </c>
      <c r="G11">
        <f t="shared" si="0"/>
        <v>-16489.034161490683</v>
      </c>
      <c r="H11">
        <f t="shared" si="3"/>
        <v>267274.84472049691</v>
      </c>
    </row>
    <row r="12" spans="1:8">
      <c r="A12">
        <v>2004</v>
      </c>
      <c r="B12">
        <v>-19998</v>
      </c>
      <c r="D12">
        <f>'inflation-output'!B9</f>
        <v>1.3695652173913044</v>
      </c>
      <c r="E12">
        <f t="shared" si="1"/>
        <v>-27388.565217391308</v>
      </c>
      <c r="G12">
        <f t="shared" si="0"/>
        <v>-16489.034161490683</v>
      </c>
      <c r="H12">
        <f t="shared" si="3"/>
        <v>267274.84472049691</v>
      </c>
    </row>
    <row r="13" spans="1:8">
      <c r="A13">
        <v>2005</v>
      </c>
      <c r="B13">
        <v>-19998</v>
      </c>
      <c r="D13">
        <f>'inflation-output'!B10</f>
        <v>1.3245341614906831</v>
      </c>
      <c r="E13">
        <f t="shared" si="1"/>
        <v>-26488.034161490683</v>
      </c>
      <c r="G13">
        <f t="shared" si="0"/>
        <v>-16489.034161490683</v>
      </c>
      <c r="H13">
        <f t="shared" si="3"/>
        <v>267274.84472049691</v>
      </c>
    </row>
    <row r="14" spans="1:8">
      <c r="A14">
        <v>2006</v>
      </c>
      <c r="B14">
        <v>-19998</v>
      </c>
      <c r="D14">
        <f>'inflation-output'!B11</f>
        <v>1.2826086956521738</v>
      </c>
      <c r="E14">
        <f t="shared" si="1"/>
        <v>-25649.608695652172</v>
      </c>
      <c r="G14">
        <f t="shared" si="0"/>
        <v>-16489.034161490683</v>
      </c>
      <c r="H14">
        <f t="shared" si="3"/>
        <v>267274.84472049691</v>
      </c>
    </row>
    <row r="15" spans="1:8">
      <c r="A15">
        <v>2007</v>
      </c>
      <c r="B15">
        <v>-19998</v>
      </c>
      <c r="D15">
        <f>'inflation-output'!B12</f>
        <v>1.2484472049689441</v>
      </c>
      <c r="E15">
        <f t="shared" si="1"/>
        <v>-24966.447204968943</v>
      </c>
      <c r="G15">
        <f t="shared" si="0"/>
        <v>-16489.034161490683</v>
      </c>
      <c r="H15">
        <f t="shared" si="3"/>
        <v>267274.84472049691</v>
      </c>
    </row>
    <row r="16" spans="1:8">
      <c r="A16">
        <v>2008</v>
      </c>
      <c r="B16">
        <v>-19998</v>
      </c>
      <c r="D16">
        <f>'inflation-output'!B13</f>
        <v>1.2018633540372672</v>
      </c>
      <c r="E16">
        <f t="shared" si="1"/>
        <v>-24034.863354037268</v>
      </c>
      <c r="G16">
        <f t="shared" si="0"/>
        <v>-16489.034161490683</v>
      </c>
      <c r="H16">
        <f t="shared" si="3"/>
        <v>267274.84472049691</v>
      </c>
    </row>
    <row r="17" spans="1:8">
      <c r="A17">
        <v>2009</v>
      </c>
      <c r="B17">
        <v>-19998</v>
      </c>
      <c r="D17">
        <f>'inflation-output'!B14</f>
        <v>1.2065217391304348</v>
      </c>
      <c r="E17">
        <f t="shared" si="1"/>
        <v>-24128.021739130436</v>
      </c>
      <c r="G17">
        <f t="shared" si="0"/>
        <v>-16489.034161490683</v>
      </c>
      <c r="H17">
        <f t="shared" si="3"/>
        <v>267274.84472049691</v>
      </c>
    </row>
    <row r="18" spans="1:8">
      <c r="A18">
        <v>2010</v>
      </c>
      <c r="B18">
        <v>-19998</v>
      </c>
      <c r="D18">
        <f>'inflation-output'!B15</f>
        <v>1.1863354037267082</v>
      </c>
      <c r="E18">
        <f t="shared" si="1"/>
        <v>-23724.335403726709</v>
      </c>
      <c r="G18">
        <f t="shared" si="0"/>
        <v>-16489.034161490683</v>
      </c>
      <c r="H18">
        <f t="shared" si="3"/>
        <v>267274.84472049691</v>
      </c>
    </row>
    <row r="19" spans="1:8">
      <c r="A19">
        <v>2011</v>
      </c>
      <c r="B19">
        <v>-19998</v>
      </c>
      <c r="D19">
        <f>'inflation-output'!B16</f>
        <v>1.1506211180124224</v>
      </c>
      <c r="E19">
        <f t="shared" si="1"/>
        <v>-23010.121118012423</v>
      </c>
      <c r="G19">
        <f t="shared" si="0"/>
        <v>-16489.034161490683</v>
      </c>
      <c r="H19">
        <f t="shared" si="3"/>
        <v>267274.84472049691</v>
      </c>
    </row>
    <row r="20" spans="1:8">
      <c r="A20">
        <v>2012</v>
      </c>
      <c r="B20">
        <v>-19998</v>
      </c>
      <c r="D20">
        <f>'inflation-output'!B17</f>
        <v>1.1273291925465838</v>
      </c>
      <c r="E20">
        <f t="shared" si="1"/>
        <v>-22544.329192546582</v>
      </c>
      <c r="G20">
        <f t="shared" si="0"/>
        <v>-16489.034161490683</v>
      </c>
      <c r="H20">
        <f t="shared" si="3"/>
        <v>267274.84472049691</v>
      </c>
    </row>
    <row r="21" spans="1:8">
      <c r="A21">
        <v>2013</v>
      </c>
      <c r="B21">
        <v>-19998</v>
      </c>
      <c r="D21">
        <f>'inflation-output'!B18</f>
        <v>1.110248447204969</v>
      </c>
      <c r="E21">
        <f t="shared" si="1"/>
        <v>-22202.748447204969</v>
      </c>
      <c r="G21">
        <f t="shared" si="0"/>
        <v>-16489.034161490683</v>
      </c>
      <c r="H21">
        <f t="shared" si="3"/>
        <v>267274.84472049691</v>
      </c>
    </row>
    <row r="22" spans="1:8">
      <c r="A22">
        <v>2014</v>
      </c>
      <c r="B22">
        <v>-19998</v>
      </c>
      <c r="D22">
        <f>'inflation-output'!B19</f>
        <v>1.0931677018633541</v>
      </c>
      <c r="E22">
        <f t="shared" si="1"/>
        <v>-21861.167701863356</v>
      </c>
      <c r="G22">
        <f t="shared" si="0"/>
        <v>-16489.034161490683</v>
      </c>
      <c r="H22">
        <f t="shared" si="3"/>
        <v>267274.84472049691</v>
      </c>
    </row>
    <row r="23" spans="1:8">
      <c r="A23">
        <v>2015</v>
      </c>
      <c r="B23">
        <v>-19998</v>
      </c>
      <c r="D23">
        <f>'inflation-output'!B20</f>
        <v>1.091614906832298</v>
      </c>
      <c r="E23">
        <f t="shared" si="1"/>
        <v>-21830.114906832296</v>
      </c>
      <c r="G23">
        <f t="shared" si="0"/>
        <v>-16489.034161490683</v>
      </c>
      <c r="H23">
        <f t="shared" si="3"/>
        <v>267274.84472049691</v>
      </c>
    </row>
    <row r="24" spans="1:8">
      <c r="A24">
        <v>2016</v>
      </c>
      <c r="B24">
        <v>-19998</v>
      </c>
      <c r="D24">
        <f>'inflation-output'!B21</f>
        <v>1.0776397515527949</v>
      </c>
      <c r="E24">
        <f t="shared" si="1"/>
        <v>-21550.639751552793</v>
      </c>
      <c r="G24">
        <f t="shared" si="0"/>
        <v>-16489.034161490683</v>
      </c>
      <c r="H24">
        <f t="shared" si="3"/>
        <v>267274.84472049691</v>
      </c>
    </row>
    <row r="25" spans="1:8">
      <c r="A25">
        <v>2017</v>
      </c>
      <c r="B25">
        <v>-19998</v>
      </c>
      <c r="D25">
        <f>'inflation-output'!B22</f>
        <v>1.0543478260869565</v>
      </c>
      <c r="E25">
        <f t="shared" si="1"/>
        <v>-21084.847826086956</v>
      </c>
      <c r="G25">
        <f t="shared" si="0"/>
        <v>-16489.034161490683</v>
      </c>
      <c r="H25">
        <f t="shared" si="3"/>
        <v>267274.84472049691</v>
      </c>
    </row>
    <row r="26" spans="1:8">
      <c r="A26">
        <v>2018</v>
      </c>
      <c r="B26">
        <v>-19998</v>
      </c>
      <c r="D26">
        <f>'inflation-output'!B23</f>
        <v>1.0295031055900621</v>
      </c>
      <c r="E26">
        <f t="shared" si="1"/>
        <v>-20588.003105590062</v>
      </c>
      <c r="G26">
        <f t="shared" si="0"/>
        <v>-16489.034161490683</v>
      </c>
      <c r="H26">
        <f t="shared" si="3"/>
        <v>267274.84472049691</v>
      </c>
    </row>
    <row r="27" spans="1:8">
      <c r="A27">
        <v>2019</v>
      </c>
      <c r="B27">
        <v>-19998</v>
      </c>
      <c r="D27">
        <f>'inflation-output'!B24</f>
        <v>1.0124223602484472</v>
      </c>
      <c r="E27">
        <f t="shared" si="1"/>
        <v>-20246.422360248449</v>
      </c>
      <c r="G27">
        <f t="shared" si="0"/>
        <v>-16489.034161490683</v>
      </c>
      <c r="H27">
        <f t="shared" si="3"/>
        <v>267274.84472049691</v>
      </c>
    </row>
    <row r="28" spans="1:8">
      <c r="A28">
        <v>2020</v>
      </c>
      <c r="B28">
        <v>-19998</v>
      </c>
      <c r="D28">
        <f>'inflation-output'!B25</f>
        <v>1</v>
      </c>
      <c r="E28">
        <f t="shared" si="1"/>
        <v>-19998</v>
      </c>
      <c r="G28">
        <f t="shared" si="0"/>
        <v>-16489.034161490683</v>
      </c>
      <c r="H28">
        <f t="shared" si="3"/>
        <v>267274.84472049691</v>
      </c>
    </row>
    <row r="29" spans="1:8">
      <c r="A29">
        <v>2021</v>
      </c>
      <c r="B29">
        <v>-19998</v>
      </c>
      <c r="D29">
        <f>'inflation-output'!B26</f>
        <v>0.95496894409937894</v>
      </c>
      <c r="E29">
        <f t="shared" si="1"/>
        <v>-19097.468944099379</v>
      </c>
      <c r="G29">
        <f t="shared" si="0"/>
        <v>-16489.034161490683</v>
      </c>
      <c r="H29">
        <f t="shared" si="3"/>
        <v>267274.84472049691</v>
      </c>
    </row>
    <row r="30" spans="1:8">
      <c r="A30">
        <v>2022</v>
      </c>
      <c r="B30">
        <v>-19998</v>
      </c>
      <c r="D30">
        <f>'inflation-output'!B27</f>
        <v>0.88354037267080743</v>
      </c>
      <c r="E30">
        <f t="shared" si="1"/>
        <v>-17669.040372670806</v>
      </c>
      <c r="G30">
        <f t="shared" si="0"/>
        <v>-16489.034161490683</v>
      </c>
      <c r="H30">
        <f t="shared" si="3"/>
        <v>267274.84472049691</v>
      </c>
    </row>
    <row r="31" spans="1:8">
      <c r="A31">
        <v>2023</v>
      </c>
      <c r="B31">
        <v>-19998</v>
      </c>
      <c r="D31">
        <f>'inflation-output'!B28</f>
        <v>0.84937888198757772</v>
      </c>
      <c r="E31">
        <f t="shared" si="1"/>
        <v>-16985.878881987581</v>
      </c>
      <c r="G31">
        <f t="shared" si="0"/>
        <v>-16489.034161490683</v>
      </c>
      <c r="H31">
        <f t="shared" si="3"/>
        <v>267274.84472049691</v>
      </c>
    </row>
    <row r="32" spans="1:8">
      <c r="A32">
        <v>2024</v>
      </c>
      <c r="B32">
        <v>-19998</v>
      </c>
      <c r="D32">
        <f>'inflation-output'!B29</f>
        <v>0.82453416149068326</v>
      </c>
      <c r="E32">
        <f t="shared" si="1"/>
        <v>-16489.034161490683</v>
      </c>
      <c r="G32">
        <f t="shared" si="0"/>
        <v>-16489.034161490683</v>
      </c>
      <c r="H32">
        <f t="shared" si="3"/>
        <v>267274.84472049691</v>
      </c>
    </row>
  </sheetData>
  <conditionalFormatting sqref="E5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inflation-input</vt:lpstr>
      <vt:lpstr>inflation-calc</vt:lpstr>
      <vt:lpstr>inflation-output</vt:lpstr>
      <vt:lpstr>topcode-input</vt:lpstr>
      <vt:lpstr>topcode-calc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Lorae T. Stojanovic</dc:creator>
  <cp:lastModifiedBy>Lorae T. Stojanovic</cp:lastModifiedBy>
  <dcterms:created xsi:type="dcterms:W3CDTF">2026-01-13T15:09:37Z</dcterms:created>
  <dcterms:modified xsi:type="dcterms:W3CDTF">2026-01-13T18:06:24Z</dcterms:modified>
</cp:coreProperties>
</file>