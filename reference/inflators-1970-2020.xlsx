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4540\Documents\dev\households-over-the-years\"/>
    </mc:Choice>
  </mc:AlternateContent>
  <xr:revisionPtr revIDLastSave="0" documentId="8_{C2F8B995-DF19-4863-9085-98EB80713969}" xr6:coauthVersionLast="47" xr6:coauthVersionMax="47" xr10:uidLastSave="{00000000-0000-0000-0000-000000000000}"/>
  <bookViews>
    <workbookView xWindow="-110" yWindow="-110" windowWidth="23260" windowHeight="14860" activeTab="2" xr2:uid="{1B5009E0-B0EE-4A60-9423-4970FABC966F}"/>
  </bookViews>
  <sheets>
    <sheet name="input" sheetId="1" r:id="rId1"/>
    <sheet name="calculation" sheetId="2" r:id="rId2"/>
    <sheet name="outpu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" i="2"/>
</calcChain>
</file>

<file path=xl/sharedStrings.xml><?xml version="1.0" encoding="utf-8"?>
<sst xmlns="http://schemas.openxmlformats.org/spreadsheetml/2006/main" count="142" uniqueCount="43">
  <si>
    <t>Data Year</t>
  </si>
  <si>
    <t>Income Year</t>
  </si>
  <si>
    <t>X</t>
  </si>
  <si>
    <t>CPI99</t>
  </si>
  <si>
    <t>=</t>
  </si>
  <si>
    <t>1999 dollars</t>
  </si>
  <si>
    <t>1939 dollars</t>
  </si>
  <si>
    <t>1949 dollars</t>
  </si>
  <si>
    <t>1959 dollars</t>
  </si>
  <si>
    <t>1969 dollars</t>
  </si>
  <si>
    <t>1979 dollars</t>
  </si>
  <si>
    <t>1989 dollars</t>
  </si>
  <si>
    <t>2000 (ACS)</t>
  </si>
  <si>
    <t>2000 dollars</t>
  </si>
  <si>
    <t>2001 dollars</t>
  </si>
  <si>
    <t>2002 dollars</t>
  </si>
  <si>
    <t>2003 dollars</t>
  </si>
  <si>
    <t>2004 dollars</t>
  </si>
  <si>
    <t>2005 dollars</t>
  </si>
  <si>
    <t>2006 dollars</t>
  </si>
  <si>
    <t>2007 dollars</t>
  </si>
  <si>
    <t>2008 dollars</t>
  </si>
  <si>
    <t>2009 dollars</t>
  </si>
  <si>
    <t>2010 dollars</t>
  </si>
  <si>
    <t>2011 dollars</t>
  </si>
  <si>
    <t>2012 dollars</t>
  </si>
  <si>
    <t>2013 dollars</t>
  </si>
  <si>
    <t>2014 dollars</t>
  </si>
  <si>
    <t>2015 dollars</t>
  </si>
  <si>
    <t>2016 dollars</t>
  </si>
  <si>
    <t>2017 dollars</t>
  </si>
  <si>
    <t>2018 dollars</t>
  </si>
  <si>
    <t>2019 dollars</t>
  </si>
  <si>
    <t>2020 dollars</t>
  </si>
  <si>
    <t>2021 dollars</t>
  </si>
  <si>
    <t>2022 dollars</t>
  </si>
  <si>
    <t>2023 dollars</t>
  </si>
  <si>
    <t>2024 dollars</t>
  </si>
  <si>
    <t>data year</t>
  </si>
  <si>
    <t>Source:</t>
  </si>
  <si>
    <t>https://usa.ipums.org/usa/cpi99.shtml</t>
  </si>
  <si>
    <t>source_year</t>
  </si>
  <si>
    <t>inflator_2020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</si>
</sst>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00263A"/>
      <name val="Cabrito Sans"/>
    </font>
    <font>
      <sz val="11"/>
      <color rgb="FF00263A"/>
      <name val="Cabrito Sans Subset"/>
    </font>
  </fonts>
  <fills count="4">
    <fill>
      <patternFill patternType="none"/>
    </fill>
    <fill>
      <patternFill patternType="gray125"/>
    </fill>
    <fill>
      <patternFill patternType="solid">
        <fgColor rgb="FFFBFCFC"/>
        <bgColor indexed="64"/>
      </patternFill>
    </fill>
    <fill>
      <patternFill patternType="solid">
        <fgColor rgb="FFE1E9EE"/>
        <bgColor indexed="64"/>
      </patternFill>
    </fill>
  </fills>
  <borders count="2">
    <border>
      <left/>
      <right/>
      <top/>
      <bottom/>
      <diagonal/>
    </border>
    <border>
      <left style="medium">
        <color rgb="FFBDD2DE"/>
      </left>
      <right style="medium">
        <color rgb="FFBDD2DE"/>
      </right>
      <top style="medium">
        <color rgb="FFBDD2DE"/>
      </top>
      <bottom style="medium">
        <color rgb="FFBDD2DE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0E8C3-D3AE-49A2-94C9-98A26E41FB39}">
  <dimension ref="B1:G34"/>
  <sheetViews>
    <sheetView workbookViewId="0">
      <selection activeCell="J5" sqref="J5"/>
    </sheetView>
  </sheetViews>
  <sheetFormatPr defaultRowHeight="15"/>
  <sheetData>
    <row r="1" spans="2:7" ht="15.75" thickBot="1">
      <c r="B1" t="s">
        <v>39</v>
      </c>
      <c r="C1" t="s">
        <v>40</v>
      </c>
    </row>
    <row r="2" spans="2:7" ht="30.75" thickBo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ht="29.25" thickBot="1">
      <c r="B3" s="1">
        <v>1940</v>
      </c>
      <c r="C3" s="2" t="s">
        <v>6</v>
      </c>
      <c r="D3" s="2" t="s">
        <v>2</v>
      </c>
      <c r="E3" s="2">
        <v>11.986000000000001</v>
      </c>
      <c r="F3" s="2" t="s">
        <v>4</v>
      </c>
      <c r="G3" s="2" t="s">
        <v>5</v>
      </c>
    </row>
    <row r="4" spans="2:7" ht="29.25" thickBot="1">
      <c r="B4" s="1">
        <v>1950</v>
      </c>
      <c r="C4" s="2" t="s">
        <v>7</v>
      </c>
      <c r="D4" s="2" t="s">
        <v>2</v>
      </c>
      <c r="E4" s="2">
        <v>7</v>
      </c>
      <c r="F4" s="2" t="s">
        <v>4</v>
      </c>
      <c r="G4" s="2" t="s">
        <v>5</v>
      </c>
    </row>
    <row r="5" spans="2:7" ht="29.25" thickBot="1">
      <c r="B5" s="1">
        <v>1960</v>
      </c>
      <c r="C5" s="2" t="s">
        <v>8</v>
      </c>
      <c r="D5" s="2" t="s">
        <v>2</v>
      </c>
      <c r="E5" s="2">
        <v>5.7249999999999996</v>
      </c>
      <c r="F5" s="2" t="s">
        <v>4</v>
      </c>
      <c r="G5" s="2" t="s">
        <v>5</v>
      </c>
    </row>
    <row r="6" spans="2:7" ht="29.25" thickBot="1">
      <c r="B6" s="1">
        <v>1970</v>
      </c>
      <c r="C6" s="2" t="s">
        <v>9</v>
      </c>
      <c r="D6" s="2" t="s">
        <v>2</v>
      </c>
      <c r="E6" s="2">
        <v>4.54</v>
      </c>
      <c r="F6" s="2" t="s">
        <v>4</v>
      </c>
      <c r="G6" s="2" t="s">
        <v>5</v>
      </c>
    </row>
    <row r="7" spans="2:7" ht="29.25" thickBot="1">
      <c r="B7" s="1">
        <v>1980</v>
      </c>
      <c r="C7" s="2" t="s">
        <v>10</v>
      </c>
      <c r="D7" s="2" t="s">
        <v>2</v>
      </c>
      <c r="E7" s="2">
        <v>2.2949999999999999</v>
      </c>
      <c r="F7" s="2" t="s">
        <v>4</v>
      </c>
      <c r="G7" s="2" t="s">
        <v>5</v>
      </c>
    </row>
    <row r="8" spans="2:7" ht="29.25" thickBot="1">
      <c r="B8" s="1">
        <v>1990</v>
      </c>
      <c r="C8" s="2" t="s">
        <v>11</v>
      </c>
      <c r="D8" s="2" t="s">
        <v>2</v>
      </c>
      <c r="E8" s="2">
        <v>1.3440000000000001</v>
      </c>
      <c r="F8" s="2" t="s">
        <v>4</v>
      </c>
      <c r="G8" s="2" t="s">
        <v>5</v>
      </c>
    </row>
    <row r="9" spans="2:7" ht="29.25" thickBot="1">
      <c r="B9" s="1">
        <v>2000</v>
      </c>
      <c r="C9" s="2" t="s">
        <v>5</v>
      </c>
      <c r="D9" s="2" t="s">
        <v>2</v>
      </c>
      <c r="E9" s="2">
        <v>1</v>
      </c>
      <c r="F9" s="2" t="s">
        <v>4</v>
      </c>
      <c r="G9" s="2" t="s">
        <v>5</v>
      </c>
    </row>
    <row r="10" spans="2:7" ht="30.75" thickBot="1">
      <c r="B10" s="1" t="s">
        <v>12</v>
      </c>
      <c r="C10" s="2" t="s">
        <v>13</v>
      </c>
      <c r="D10" s="2" t="s">
        <v>2</v>
      </c>
      <c r="E10" s="2">
        <v>0.96699999999999997</v>
      </c>
      <c r="F10" s="2" t="s">
        <v>4</v>
      </c>
      <c r="G10" s="2" t="s">
        <v>5</v>
      </c>
    </row>
    <row r="11" spans="2:7" ht="29.25" thickBot="1">
      <c r="B11" s="1">
        <v>2001</v>
      </c>
      <c r="C11" s="2" t="s">
        <v>14</v>
      </c>
      <c r="D11" s="2" t="s">
        <v>2</v>
      </c>
      <c r="E11" s="2">
        <v>0.94099999999999995</v>
      </c>
      <c r="F11" s="2" t="s">
        <v>4</v>
      </c>
      <c r="G11" s="2" t="s">
        <v>5</v>
      </c>
    </row>
    <row r="12" spans="2:7" ht="29.25" thickBot="1">
      <c r="B12" s="1">
        <v>2002</v>
      </c>
      <c r="C12" s="2" t="s">
        <v>15</v>
      </c>
      <c r="D12" s="2" t="s">
        <v>2</v>
      </c>
      <c r="E12" s="2">
        <v>0.92600000000000005</v>
      </c>
      <c r="F12" s="2" t="s">
        <v>4</v>
      </c>
      <c r="G12" s="2" t="s">
        <v>5</v>
      </c>
    </row>
    <row r="13" spans="2:7" ht="29.25" thickBot="1">
      <c r="B13" s="1">
        <v>2003</v>
      </c>
      <c r="C13" s="2" t="s">
        <v>16</v>
      </c>
      <c r="D13" s="2" t="s">
        <v>2</v>
      </c>
      <c r="E13" s="2">
        <v>0.90500000000000003</v>
      </c>
      <c r="F13" s="2" t="s">
        <v>4</v>
      </c>
      <c r="G13" s="2" t="s">
        <v>5</v>
      </c>
    </row>
    <row r="14" spans="2:7" ht="29.25" thickBot="1">
      <c r="B14" s="1">
        <v>2004</v>
      </c>
      <c r="C14" s="2" t="s">
        <v>17</v>
      </c>
      <c r="D14" s="2" t="s">
        <v>2</v>
      </c>
      <c r="E14" s="2">
        <v>0.88200000000000001</v>
      </c>
      <c r="F14" s="2" t="s">
        <v>4</v>
      </c>
      <c r="G14" s="2" t="s">
        <v>5</v>
      </c>
    </row>
    <row r="15" spans="2:7" ht="29.25" thickBot="1">
      <c r="B15" s="1">
        <v>2005</v>
      </c>
      <c r="C15" s="2" t="s">
        <v>18</v>
      </c>
      <c r="D15" s="2" t="s">
        <v>2</v>
      </c>
      <c r="E15" s="2">
        <v>0.85299999999999998</v>
      </c>
      <c r="F15" s="2" t="s">
        <v>4</v>
      </c>
      <c r="G15" s="2" t="s">
        <v>5</v>
      </c>
    </row>
    <row r="16" spans="2:7" ht="29.25" thickBot="1">
      <c r="B16" s="1">
        <v>2006</v>
      </c>
      <c r="C16" s="2" t="s">
        <v>19</v>
      </c>
      <c r="D16" s="2" t="s">
        <v>2</v>
      </c>
      <c r="E16" s="2">
        <v>0.82599999999999996</v>
      </c>
      <c r="F16" s="2" t="s">
        <v>4</v>
      </c>
      <c r="G16" s="2" t="s">
        <v>5</v>
      </c>
    </row>
    <row r="17" spans="2:7" ht="29.25" thickBot="1">
      <c r="B17" s="1">
        <v>2007</v>
      </c>
      <c r="C17" s="2" t="s">
        <v>20</v>
      </c>
      <c r="D17" s="2" t="s">
        <v>2</v>
      </c>
      <c r="E17" s="2">
        <v>0.80400000000000005</v>
      </c>
      <c r="F17" s="2" t="s">
        <v>4</v>
      </c>
      <c r="G17" s="2" t="s">
        <v>5</v>
      </c>
    </row>
    <row r="18" spans="2:7" ht="29.25" thickBot="1">
      <c r="B18" s="1">
        <v>2008</v>
      </c>
      <c r="C18" s="2" t="s">
        <v>21</v>
      </c>
      <c r="D18" s="2" t="s">
        <v>2</v>
      </c>
      <c r="E18" s="2">
        <v>0.77400000000000002</v>
      </c>
      <c r="F18" s="2" t="s">
        <v>4</v>
      </c>
      <c r="G18" s="2" t="s">
        <v>5</v>
      </c>
    </row>
    <row r="19" spans="2:7" ht="29.25" thickBot="1">
      <c r="B19" s="1">
        <v>2009</v>
      </c>
      <c r="C19" s="2" t="s">
        <v>22</v>
      </c>
      <c r="D19" s="2" t="s">
        <v>2</v>
      </c>
      <c r="E19" s="2">
        <v>0.77700000000000002</v>
      </c>
      <c r="F19" s="2" t="s">
        <v>4</v>
      </c>
      <c r="G19" s="2" t="s">
        <v>5</v>
      </c>
    </row>
    <row r="20" spans="2:7" ht="29.25" thickBot="1">
      <c r="B20" s="1">
        <v>2010</v>
      </c>
      <c r="C20" s="2" t="s">
        <v>23</v>
      </c>
      <c r="D20" s="2" t="s">
        <v>2</v>
      </c>
      <c r="E20" s="2">
        <v>0.76400000000000001</v>
      </c>
      <c r="F20" s="2" t="s">
        <v>4</v>
      </c>
      <c r="G20" s="2" t="s">
        <v>5</v>
      </c>
    </row>
    <row r="21" spans="2:7" ht="29.25" thickBot="1">
      <c r="B21" s="1">
        <v>2011</v>
      </c>
      <c r="C21" s="2" t="s">
        <v>24</v>
      </c>
      <c r="D21" s="2" t="s">
        <v>2</v>
      </c>
      <c r="E21" s="2">
        <v>0.74099999999999999</v>
      </c>
      <c r="F21" s="2" t="s">
        <v>4</v>
      </c>
      <c r="G21" s="2" t="s">
        <v>5</v>
      </c>
    </row>
    <row r="22" spans="2:7" ht="29.25" thickBot="1">
      <c r="B22" s="1">
        <v>2012</v>
      </c>
      <c r="C22" s="2" t="s">
        <v>25</v>
      </c>
      <c r="D22" s="2" t="s">
        <v>2</v>
      </c>
      <c r="E22" s="2">
        <v>0.72599999999999998</v>
      </c>
      <c r="F22" s="2" t="s">
        <v>4</v>
      </c>
      <c r="G22" s="2" t="s">
        <v>5</v>
      </c>
    </row>
    <row r="23" spans="2:7" ht="29.25" thickBot="1">
      <c r="B23" s="1">
        <v>2013</v>
      </c>
      <c r="C23" s="2" t="s">
        <v>26</v>
      </c>
      <c r="D23" s="2" t="s">
        <v>2</v>
      </c>
      <c r="E23" s="2">
        <v>0.71499999999999997</v>
      </c>
      <c r="F23" s="2" t="s">
        <v>4</v>
      </c>
      <c r="G23" s="2" t="s">
        <v>5</v>
      </c>
    </row>
    <row r="24" spans="2:7" ht="29.25" thickBot="1">
      <c r="B24" s="1">
        <v>2014</v>
      </c>
      <c r="C24" s="2" t="s">
        <v>27</v>
      </c>
      <c r="D24" s="2" t="s">
        <v>2</v>
      </c>
      <c r="E24" s="2">
        <v>0.70399999999999996</v>
      </c>
      <c r="F24" s="2" t="s">
        <v>4</v>
      </c>
      <c r="G24" s="2" t="s">
        <v>5</v>
      </c>
    </row>
    <row r="25" spans="2:7" ht="29.25" thickBot="1">
      <c r="B25" s="1">
        <v>2015</v>
      </c>
      <c r="C25" s="2" t="s">
        <v>28</v>
      </c>
      <c r="D25" s="2" t="s">
        <v>2</v>
      </c>
      <c r="E25" s="2">
        <v>0.70299999999999996</v>
      </c>
      <c r="F25" s="2" t="s">
        <v>4</v>
      </c>
      <c r="G25" s="2" t="s">
        <v>5</v>
      </c>
    </row>
    <row r="26" spans="2:7" ht="29.25" thickBot="1">
      <c r="B26" s="1">
        <v>2016</v>
      </c>
      <c r="C26" s="2" t="s">
        <v>29</v>
      </c>
      <c r="D26" s="2" t="s">
        <v>2</v>
      </c>
      <c r="E26" s="2">
        <v>0.69399999999999995</v>
      </c>
      <c r="F26" s="2" t="s">
        <v>4</v>
      </c>
      <c r="G26" s="2" t="s">
        <v>5</v>
      </c>
    </row>
    <row r="27" spans="2:7" ht="29.25" thickBot="1">
      <c r="B27" s="1">
        <v>2017</v>
      </c>
      <c r="C27" s="2" t="s">
        <v>30</v>
      </c>
      <c r="D27" s="2" t="s">
        <v>2</v>
      </c>
      <c r="E27" s="2">
        <v>0.67900000000000005</v>
      </c>
      <c r="F27" s="2" t="s">
        <v>4</v>
      </c>
      <c r="G27" s="2" t="s">
        <v>5</v>
      </c>
    </row>
    <row r="28" spans="2:7" ht="29.25" thickBot="1">
      <c r="B28" s="1">
        <v>2018</v>
      </c>
      <c r="C28" s="2" t="s">
        <v>31</v>
      </c>
      <c r="D28" s="2" t="s">
        <v>2</v>
      </c>
      <c r="E28" s="2">
        <v>0.66300000000000003</v>
      </c>
      <c r="F28" s="2" t="s">
        <v>4</v>
      </c>
      <c r="G28" s="2" t="s">
        <v>5</v>
      </c>
    </row>
    <row r="29" spans="2:7" ht="29.25" thickBot="1">
      <c r="B29" s="1">
        <v>2019</v>
      </c>
      <c r="C29" s="2" t="s">
        <v>32</v>
      </c>
      <c r="D29" s="2" t="s">
        <v>2</v>
      </c>
      <c r="E29" s="2">
        <v>0.65200000000000002</v>
      </c>
      <c r="F29" s="2" t="s">
        <v>4</v>
      </c>
      <c r="G29" s="2" t="s">
        <v>5</v>
      </c>
    </row>
    <row r="30" spans="2:7" ht="29.25" thickBot="1">
      <c r="B30" s="1">
        <v>2020</v>
      </c>
      <c r="C30" s="2" t="s">
        <v>33</v>
      </c>
      <c r="D30" s="2" t="s">
        <v>2</v>
      </c>
      <c r="E30" s="2">
        <v>0.64400000000000002</v>
      </c>
      <c r="F30" s="2" t="s">
        <v>4</v>
      </c>
      <c r="G30" s="2" t="s">
        <v>5</v>
      </c>
    </row>
    <row r="31" spans="2:7" ht="29.25" thickBot="1">
      <c r="B31" s="1">
        <v>2021</v>
      </c>
      <c r="C31" s="2" t="s">
        <v>34</v>
      </c>
      <c r="D31" s="2" t="s">
        <v>2</v>
      </c>
      <c r="E31" s="2">
        <v>0.61499999999999999</v>
      </c>
      <c r="F31" s="2" t="s">
        <v>4</v>
      </c>
      <c r="G31" s="2" t="s">
        <v>5</v>
      </c>
    </row>
    <row r="32" spans="2:7" ht="29.25" thickBot="1">
      <c r="B32" s="1">
        <v>2022</v>
      </c>
      <c r="C32" s="2" t="s">
        <v>35</v>
      </c>
      <c r="D32" s="2" t="s">
        <v>2</v>
      </c>
      <c r="E32" s="2">
        <v>0.56899999999999995</v>
      </c>
      <c r="F32" s="2" t="s">
        <v>4</v>
      </c>
      <c r="G32" s="2" t="s">
        <v>5</v>
      </c>
    </row>
    <row r="33" spans="2:7" ht="29.25" thickBot="1">
      <c r="B33" s="1">
        <v>2023</v>
      </c>
      <c r="C33" s="2" t="s">
        <v>36</v>
      </c>
      <c r="D33" s="2" t="s">
        <v>2</v>
      </c>
      <c r="E33" s="2">
        <v>0.54700000000000004</v>
      </c>
      <c r="F33" s="2" t="s">
        <v>4</v>
      </c>
      <c r="G33" s="2" t="s">
        <v>5</v>
      </c>
    </row>
    <row r="34" spans="2:7" ht="29.25" thickBot="1">
      <c r="B34" s="1">
        <v>2024</v>
      </c>
      <c r="C34" s="2" t="s">
        <v>37</v>
      </c>
      <c r="D34" s="2" t="s">
        <v>2</v>
      </c>
      <c r="E34" s="2">
        <v>0.53100000000000003</v>
      </c>
      <c r="F34" s="2" t="s">
        <v>4</v>
      </c>
      <c r="G34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AEB72-8931-4B22-9FD3-B9B5F0CBA475}">
  <dimension ref="B2:D31"/>
  <sheetViews>
    <sheetView workbookViewId="0">
      <selection activeCell="B2" sqref="B2:D31"/>
    </sheetView>
  </sheetViews>
  <sheetFormatPr defaultRowHeight="15"/>
  <cols>
    <col min="3" max="3" width="13" customWidth="1"/>
    <col min="4" max="4" width="12" bestFit="1" customWidth="1"/>
  </cols>
  <sheetData>
    <row r="2" spans="2:4">
      <c r="B2" t="s">
        <v>38</v>
      </c>
      <c r="C2" t="s">
        <v>5</v>
      </c>
      <c r="D2" t="s">
        <v>33</v>
      </c>
    </row>
    <row r="3" spans="2:4">
      <c r="B3">
        <v>1970</v>
      </c>
      <c r="C3">
        <f>input!E6</f>
        <v>4.54</v>
      </c>
      <c r="D3">
        <f>(1/input!$E$30)*calculation!C3</f>
        <v>7.0496894409937889</v>
      </c>
    </row>
    <row r="4" spans="2:4">
      <c r="B4">
        <v>1980</v>
      </c>
      <c r="C4">
        <f>input!E7</f>
        <v>2.2949999999999999</v>
      </c>
      <c r="D4">
        <f>(1/input!$E$30)*calculation!C4</f>
        <v>3.5636645962732918</v>
      </c>
    </row>
    <row r="5" spans="2:4">
      <c r="B5">
        <v>1990</v>
      </c>
      <c r="C5">
        <f>input!E8</f>
        <v>1.3440000000000001</v>
      </c>
      <c r="D5">
        <f>(1/input!$E$30)*calculation!C5</f>
        <v>2.0869565217391308</v>
      </c>
    </row>
    <row r="6" spans="2:4">
      <c r="B6">
        <v>2000</v>
      </c>
      <c r="C6">
        <f>input!E9</f>
        <v>1</v>
      </c>
      <c r="D6">
        <f>(1/input!$E$30)*calculation!C6</f>
        <v>1.5527950310559007</v>
      </c>
    </row>
    <row r="7" spans="2:4">
      <c r="B7">
        <v>2000</v>
      </c>
      <c r="C7">
        <f>input!E10</f>
        <v>0.96699999999999997</v>
      </c>
      <c r="D7">
        <f>(1/input!$E$30)*calculation!C7</f>
        <v>1.5015527950310559</v>
      </c>
    </row>
    <row r="8" spans="2:4">
      <c r="B8">
        <v>2001</v>
      </c>
      <c r="C8">
        <f>input!E11</f>
        <v>0.94099999999999995</v>
      </c>
      <c r="D8">
        <f>(1/input!$E$30)*calculation!C8</f>
        <v>1.4611801242236024</v>
      </c>
    </row>
    <row r="9" spans="2:4">
      <c r="B9">
        <v>2002</v>
      </c>
      <c r="C9">
        <f>input!E12</f>
        <v>0.92600000000000005</v>
      </c>
      <c r="D9">
        <f>(1/input!$E$30)*calculation!C9</f>
        <v>1.4378881987577641</v>
      </c>
    </row>
    <row r="10" spans="2:4">
      <c r="B10">
        <v>2003</v>
      </c>
      <c r="C10">
        <f>input!E13</f>
        <v>0.90500000000000003</v>
      </c>
      <c r="D10">
        <f>(1/input!$E$30)*calculation!C10</f>
        <v>1.4052795031055902</v>
      </c>
    </row>
    <row r="11" spans="2:4">
      <c r="B11">
        <v>2004</v>
      </c>
      <c r="C11">
        <f>input!E14</f>
        <v>0.88200000000000001</v>
      </c>
      <c r="D11">
        <f>(1/input!$E$30)*calculation!C11</f>
        <v>1.3695652173913044</v>
      </c>
    </row>
    <row r="12" spans="2:4">
      <c r="B12">
        <v>2005</v>
      </c>
      <c r="C12">
        <f>input!E15</f>
        <v>0.85299999999999998</v>
      </c>
      <c r="D12">
        <f>(1/input!$E$30)*calculation!C12</f>
        <v>1.3245341614906831</v>
      </c>
    </row>
    <row r="13" spans="2:4">
      <c r="B13">
        <v>2006</v>
      </c>
      <c r="C13">
        <f>input!E16</f>
        <v>0.82599999999999996</v>
      </c>
      <c r="D13">
        <f>(1/input!$E$30)*calculation!C13</f>
        <v>1.2826086956521738</v>
      </c>
    </row>
    <row r="14" spans="2:4">
      <c r="B14">
        <v>2007</v>
      </c>
      <c r="C14">
        <f>input!E17</f>
        <v>0.80400000000000005</v>
      </c>
      <c r="D14">
        <f>(1/input!$E$30)*calculation!C14</f>
        <v>1.2484472049689441</v>
      </c>
    </row>
    <row r="15" spans="2:4">
      <c r="B15">
        <v>2008</v>
      </c>
      <c r="C15">
        <f>input!E18</f>
        <v>0.77400000000000002</v>
      </c>
      <c r="D15">
        <f>(1/input!$E$30)*calculation!C15</f>
        <v>1.2018633540372672</v>
      </c>
    </row>
    <row r="16" spans="2:4">
      <c r="B16">
        <v>2009</v>
      </c>
      <c r="C16">
        <f>input!E19</f>
        <v>0.77700000000000002</v>
      </c>
      <c r="D16">
        <f>(1/input!$E$30)*calculation!C16</f>
        <v>1.2065217391304348</v>
      </c>
    </row>
    <row r="17" spans="2:4">
      <c r="B17">
        <v>2010</v>
      </c>
      <c r="C17">
        <f>input!E20</f>
        <v>0.76400000000000001</v>
      </c>
      <c r="D17">
        <f>(1/input!$E$30)*calculation!C17</f>
        <v>1.1863354037267082</v>
      </c>
    </row>
    <row r="18" spans="2:4">
      <c r="B18">
        <v>2011</v>
      </c>
      <c r="C18">
        <f>input!E21</f>
        <v>0.74099999999999999</v>
      </c>
      <c r="D18">
        <f>(1/input!$E$30)*calculation!C18</f>
        <v>1.1506211180124224</v>
      </c>
    </row>
    <row r="19" spans="2:4">
      <c r="B19">
        <v>2012</v>
      </c>
      <c r="C19">
        <f>input!E22</f>
        <v>0.72599999999999998</v>
      </c>
      <c r="D19">
        <f>(1/input!$E$30)*calculation!C19</f>
        <v>1.1273291925465838</v>
      </c>
    </row>
    <row r="20" spans="2:4">
      <c r="B20">
        <v>2013</v>
      </c>
      <c r="C20">
        <f>input!E23</f>
        <v>0.71499999999999997</v>
      </c>
      <c r="D20">
        <f>(1/input!$E$30)*calculation!C20</f>
        <v>1.110248447204969</v>
      </c>
    </row>
    <row r="21" spans="2:4">
      <c r="B21">
        <v>2014</v>
      </c>
      <c r="C21">
        <f>input!E24</f>
        <v>0.70399999999999996</v>
      </c>
      <c r="D21">
        <f>(1/input!$E$30)*calculation!C21</f>
        <v>1.0931677018633541</v>
      </c>
    </row>
    <row r="22" spans="2:4">
      <c r="B22">
        <v>2015</v>
      </c>
      <c r="C22">
        <f>input!E25</f>
        <v>0.70299999999999996</v>
      </c>
      <c r="D22">
        <f>(1/input!$E$30)*calculation!C22</f>
        <v>1.091614906832298</v>
      </c>
    </row>
    <row r="23" spans="2:4">
      <c r="B23">
        <v>2016</v>
      </c>
      <c r="C23">
        <f>input!E26</f>
        <v>0.69399999999999995</v>
      </c>
      <c r="D23">
        <f>(1/input!$E$30)*calculation!C23</f>
        <v>1.0776397515527949</v>
      </c>
    </row>
    <row r="24" spans="2:4">
      <c r="B24">
        <v>2017</v>
      </c>
      <c r="C24">
        <f>input!E27</f>
        <v>0.67900000000000005</v>
      </c>
      <c r="D24">
        <f>(1/input!$E$30)*calculation!C24</f>
        <v>1.0543478260869565</v>
      </c>
    </row>
    <row r="25" spans="2:4">
      <c r="B25">
        <v>2018</v>
      </c>
      <c r="C25">
        <f>input!E28</f>
        <v>0.66300000000000003</v>
      </c>
      <c r="D25">
        <f>(1/input!$E$30)*calculation!C25</f>
        <v>1.0295031055900621</v>
      </c>
    </row>
    <row r="26" spans="2:4">
      <c r="B26">
        <v>2019</v>
      </c>
      <c r="C26">
        <f>input!E29</f>
        <v>0.65200000000000002</v>
      </c>
      <c r="D26">
        <f>(1/input!$E$30)*calculation!C26</f>
        <v>1.0124223602484472</v>
      </c>
    </row>
    <row r="27" spans="2:4">
      <c r="B27">
        <v>2020</v>
      </c>
      <c r="C27">
        <f>input!E30</f>
        <v>0.64400000000000002</v>
      </c>
      <c r="D27">
        <f>(1/input!$E$30)*calculation!C27</f>
        <v>1</v>
      </c>
    </row>
    <row r="28" spans="2:4">
      <c r="B28">
        <v>2021</v>
      </c>
      <c r="C28">
        <f>input!E31</f>
        <v>0.61499999999999999</v>
      </c>
      <c r="D28">
        <f>(1/input!$E$30)*calculation!C28</f>
        <v>0.95496894409937894</v>
      </c>
    </row>
    <row r="29" spans="2:4">
      <c r="B29">
        <v>2022</v>
      </c>
      <c r="C29">
        <f>input!E32</f>
        <v>0.56899999999999995</v>
      </c>
      <c r="D29">
        <f>(1/input!$E$30)*calculation!C29</f>
        <v>0.88354037267080743</v>
      </c>
    </row>
    <row r="30" spans="2:4">
      <c r="B30">
        <v>2023</v>
      </c>
      <c r="C30">
        <f>input!E33</f>
        <v>0.54700000000000004</v>
      </c>
      <c r="D30">
        <f>(1/input!$E$30)*calculation!C30</f>
        <v>0.84937888198757772</v>
      </c>
    </row>
    <row r="31" spans="2:4">
      <c r="B31">
        <v>2024</v>
      </c>
      <c r="C31">
        <f>input!E34</f>
        <v>0.53100000000000003</v>
      </c>
      <c r="D31">
        <f>(1/input!$E$30)*calculation!C31</f>
        <v>0.82453416149068326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83E91-0B63-45FD-9908-2B23A3F32FFB}">
  <dimension ref="A1:B30"/>
  <sheetViews>
    <sheetView tabSelected="1" workbookViewId="0"/>
  </sheetViews>
  <sheetFormatPr defaultRowHeight="15"/>
  <sheetData>
    <row r="1" spans="1:2">
      <c r="A1" t="s">
        <v>41</v>
      </c>
      <c r="B1" t="s">
        <v>42</v>
      </c>
    </row>
    <row r="2" spans="1:2">
      <c r="A2">
        <v>1970</v>
      </c>
      <c r="B2">
        <v>7.0496894409937889</v>
      </c>
    </row>
    <row r="3" spans="1:2">
      <c r="A3">
        <v>1980</v>
      </c>
      <c r="B3">
        <v>3.5636645962732918</v>
      </c>
    </row>
    <row r="4" spans="1:2">
      <c r="A4">
        <v>1990</v>
      </c>
      <c r="B4">
        <v>2.0869565217391308</v>
      </c>
    </row>
    <row r="5" spans="1:2">
      <c r="A5">
        <v>2000</v>
      </c>
      <c r="B5">
        <v>1.5527950310559007</v>
      </c>
    </row>
    <row r="6" spans="1:2">
      <c r="A6">
        <v>2000</v>
      </c>
      <c r="B6">
        <v>1.5015527950310559</v>
      </c>
    </row>
    <row r="7" spans="1:2">
      <c r="A7">
        <v>2001</v>
      </c>
      <c r="B7">
        <v>1.4611801242236024</v>
      </c>
    </row>
    <row r="8" spans="1:2">
      <c r="A8">
        <v>2002</v>
      </c>
      <c r="B8">
        <v>1.4378881987577641</v>
      </c>
    </row>
    <row r="9" spans="1:2">
      <c r="A9">
        <v>2003</v>
      </c>
      <c r="B9">
        <v>1.4052795031055902</v>
      </c>
    </row>
    <row r="10" spans="1:2">
      <c r="A10">
        <v>2004</v>
      </c>
      <c r="B10">
        <v>1.3695652173913044</v>
      </c>
    </row>
    <row r="11" spans="1:2">
      <c r="A11">
        <v>2005</v>
      </c>
      <c r="B11">
        <v>1.3245341614906831</v>
      </c>
    </row>
    <row r="12" spans="1:2">
      <c r="A12">
        <v>2006</v>
      </c>
      <c r="B12">
        <v>1.2826086956521738</v>
      </c>
    </row>
    <row r="13" spans="1:2">
      <c r="A13">
        <v>2007</v>
      </c>
      <c r="B13">
        <v>1.2484472049689441</v>
      </c>
    </row>
    <row r="14" spans="1:2">
      <c r="A14">
        <v>2008</v>
      </c>
      <c r="B14">
        <v>1.2018633540372672</v>
      </c>
    </row>
    <row r="15" spans="1:2">
      <c r="A15">
        <v>2009</v>
      </c>
      <c r="B15">
        <v>1.2065217391304348</v>
      </c>
    </row>
    <row r="16" spans="1:2">
      <c r="A16">
        <v>2010</v>
      </c>
      <c r="B16">
        <v>1.1863354037267082</v>
      </c>
    </row>
    <row r="17" spans="1:2">
      <c r="A17">
        <v>2011</v>
      </c>
      <c r="B17">
        <v>1.1506211180124224</v>
      </c>
    </row>
    <row r="18" spans="1:2">
      <c r="A18">
        <v>2012</v>
      </c>
      <c r="B18">
        <v>1.1273291925465838</v>
      </c>
    </row>
    <row r="19" spans="1:2">
      <c r="A19">
        <v>2013</v>
      </c>
      <c r="B19">
        <v>1.110248447204969</v>
      </c>
    </row>
    <row r="20" spans="1:2">
      <c r="A20">
        <v>2014</v>
      </c>
      <c r="B20">
        <v>1.0931677018633541</v>
      </c>
    </row>
    <row r="21" spans="1:2">
      <c r="A21">
        <v>2015</v>
      </c>
      <c r="B21">
        <v>1.091614906832298</v>
      </c>
    </row>
    <row r="22" spans="1:2">
      <c r="A22">
        <v>2016</v>
      </c>
      <c r="B22">
        <v>1.0776397515527949</v>
      </c>
    </row>
    <row r="23" spans="1:2">
      <c r="A23">
        <v>2017</v>
      </c>
      <c r="B23">
        <v>1.0543478260869565</v>
      </c>
    </row>
    <row r="24" spans="1:2">
      <c r="A24">
        <v>2018</v>
      </c>
      <c r="B24">
        <v>1.0295031055900621</v>
      </c>
    </row>
    <row r="25" spans="1:2">
      <c r="A25">
        <v>2019</v>
      </c>
      <c r="B25">
        <v>1.0124223602484472</v>
      </c>
    </row>
    <row r="26" spans="1:2">
      <c r="A26">
        <v>2020</v>
      </c>
      <c r="B26">
        <v>1</v>
      </c>
    </row>
    <row r="27" spans="1:2">
      <c r="A27">
        <v>2021</v>
      </c>
      <c r="B27">
        <v>0.95496894409937894</v>
      </c>
    </row>
    <row r="28" spans="1:2">
      <c r="A28">
        <v>2022</v>
      </c>
      <c r="B28">
        <v>0.88354037267080743</v>
      </c>
    </row>
    <row r="29" spans="1:2">
      <c r="A29">
        <v>2023</v>
      </c>
      <c r="B29">
        <v>0.84937888198757772</v>
      </c>
    </row>
    <row r="30" spans="1:2">
      <c r="A30">
        <v>2024</v>
      </c>
      <c r="B30">
        <v>0.82453416149068326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calculation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Lorae T. Stojanovic</dc:creator>
  <cp:lastModifiedBy>Lorae T. Stojanovic</cp:lastModifiedBy>
  <dcterms:created xsi:type="dcterms:W3CDTF">2026-01-13T15:09:37Z</dcterms:created>
  <dcterms:modified xsi:type="dcterms:W3CDTF">2026-01-13T15:15:34Z</dcterms:modified>
</cp:coreProperties>
</file>